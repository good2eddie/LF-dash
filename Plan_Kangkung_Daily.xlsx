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7A29C6EE-CE20-44C1-A8A0-F94A2BDE7DB9}" xr6:coauthVersionLast="47" xr6:coauthVersionMax="47" xr10:uidLastSave="{00000000-0000-0000-0000-000000000000}"/>
  <bookViews>
    <workbookView xWindow="-120" yWindow="-120" windowWidth="29040" windowHeight="15720" activeTab="2" xr2:uid="{65D86592-8B1C-4B59-9172-662E88479B0D}"/>
  </bookViews>
  <sheets>
    <sheet name="Plan Maps. AUG" sheetId="2" r:id="rId1"/>
    <sheet name="Tanam Kangkung- 7 Bedeng" sheetId="1" r:id="rId2"/>
    <sheet name="dash" sheetId="3" r:id="rId3"/>
  </sheets>
  <definedNames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3" l="1"/>
  <c r="J21" i="3"/>
  <c r="J20" i="3"/>
  <c r="J19" i="3"/>
  <c r="J18" i="3"/>
  <c r="J17" i="3"/>
  <c r="M22" i="3"/>
  <c r="M21" i="3"/>
  <c r="M20" i="3"/>
  <c r="M19" i="3"/>
  <c r="M18" i="3"/>
  <c r="M17" i="3"/>
  <c r="H231" i="3"/>
  <c r="G231" i="3"/>
  <c r="F231" i="3"/>
  <c r="E231" i="3"/>
  <c r="D231" i="3"/>
  <c r="C231" i="3"/>
  <c r="H230" i="3"/>
  <c r="G230" i="3"/>
  <c r="F230" i="3"/>
  <c r="E230" i="3"/>
  <c r="D230" i="3"/>
  <c r="C230" i="3"/>
  <c r="H229" i="3"/>
  <c r="G229" i="3"/>
  <c r="F229" i="3"/>
  <c r="E229" i="3"/>
  <c r="D229" i="3"/>
  <c r="C229" i="3"/>
  <c r="H228" i="3"/>
  <c r="G228" i="3"/>
  <c r="F228" i="3"/>
  <c r="E228" i="3"/>
  <c r="D228" i="3"/>
  <c r="C228" i="3"/>
  <c r="H227" i="3"/>
  <c r="G227" i="3"/>
  <c r="F227" i="3"/>
  <c r="E227" i="3"/>
  <c r="D227" i="3"/>
  <c r="C227" i="3"/>
  <c r="H226" i="3"/>
  <c r="G226" i="3"/>
  <c r="F226" i="3"/>
  <c r="E226" i="3"/>
  <c r="D226" i="3"/>
  <c r="C226" i="3"/>
  <c r="H225" i="3"/>
  <c r="G225" i="3"/>
  <c r="F225" i="3"/>
  <c r="E225" i="3"/>
  <c r="D225" i="3"/>
  <c r="C225" i="3"/>
  <c r="H224" i="3"/>
  <c r="G224" i="3"/>
  <c r="F224" i="3"/>
  <c r="E224" i="3"/>
  <c r="D224" i="3"/>
  <c r="C224" i="3"/>
  <c r="H223" i="3"/>
  <c r="G223" i="3"/>
  <c r="F223" i="3"/>
  <c r="E223" i="3"/>
  <c r="D223" i="3"/>
  <c r="C223" i="3"/>
  <c r="M8" i="3"/>
  <c r="M6" i="3"/>
  <c r="M5" i="3"/>
  <c r="M4" i="3"/>
  <c r="M3" i="3"/>
  <c r="M2" i="3"/>
  <c r="J8" i="3"/>
  <c r="J6" i="3"/>
  <c r="J5" i="3"/>
  <c r="J4" i="3"/>
  <c r="J3" i="3"/>
  <c r="J2" i="3"/>
  <c r="H222" i="3"/>
  <c r="G222" i="3"/>
  <c r="F222" i="3"/>
  <c r="E222" i="3"/>
  <c r="D222" i="3"/>
  <c r="C222" i="3"/>
  <c r="H221" i="3"/>
  <c r="G221" i="3"/>
  <c r="F221" i="3"/>
  <c r="E221" i="3"/>
  <c r="D221" i="3"/>
  <c r="C221" i="3"/>
  <c r="H220" i="3"/>
  <c r="G220" i="3"/>
  <c r="F220" i="3"/>
  <c r="E220" i="3"/>
  <c r="D220" i="3"/>
  <c r="C220" i="3"/>
  <c r="H219" i="3"/>
  <c r="G219" i="3"/>
  <c r="F219" i="3"/>
  <c r="E219" i="3"/>
  <c r="D219" i="3"/>
  <c r="C219" i="3"/>
  <c r="H218" i="3"/>
  <c r="G218" i="3"/>
  <c r="F218" i="3"/>
  <c r="E218" i="3"/>
  <c r="D218" i="3"/>
  <c r="C218" i="3"/>
  <c r="H217" i="3"/>
  <c r="G217" i="3"/>
  <c r="F217" i="3"/>
  <c r="E217" i="3"/>
  <c r="D217" i="3"/>
  <c r="C217" i="3"/>
  <c r="H216" i="3"/>
  <c r="G216" i="3"/>
  <c r="F216" i="3"/>
  <c r="E216" i="3"/>
  <c r="D216" i="3"/>
  <c r="C216" i="3"/>
  <c r="H215" i="3"/>
  <c r="G215" i="3"/>
  <c r="F215" i="3"/>
  <c r="E215" i="3"/>
  <c r="D215" i="3"/>
  <c r="C215" i="3"/>
  <c r="H214" i="3"/>
  <c r="G214" i="3"/>
  <c r="F214" i="3"/>
  <c r="E214" i="3"/>
  <c r="D214" i="3"/>
  <c r="C214" i="3"/>
  <c r="H213" i="3"/>
  <c r="G213" i="3"/>
  <c r="F213" i="3"/>
  <c r="E213" i="3"/>
  <c r="D213" i="3"/>
  <c r="C213" i="3"/>
  <c r="H212" i="3"/>
  <c r="G212" i="3"/>
  <c r="F212" i="3"/>
  <c r="E212" i="3"/>
  <c r="D212" i="3"/>
  <c r="C212" i="3"/>
  <c r="G114" i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/>
  <c r="G165" i="1" a="1"/>
  <c r="G165" i="1" s="1"/>
  <c r="G207" i="1" a="1"/>
  <c r="G207" i="1" s="1"/>
  <c r="G208" i="1" a="1"/>
  <c r="G208" i="1" s="1"/>
  <c r="G209" i="1" a="1"/>
  <c r="G209" i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M9" i="3"/>
  <c r="M11" i="3"/>
  <c r="M10" i="3"/>
  <c r="J11" i="3"/>
  <c r="J10" i="3"/>
  <c r="J9" i="3"/>
  <c r="M12" i="3" l="1"/>
  <c r="J12" i="3"/>
  <c r="M13" i="3"/>
  <c r="J13" i="3"/>
  <c r="M14" i="3"/>
  <c r="J14" i="3"/>
  <c r="M15" i="3"/>
  <c r="J15" i="3"/>
  <c r="M7" i="3"/>
  <c r="J7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70" i="3"/>
  <c r="D170" i="3"/>
  <c r="E170" i="3"/>
  <c r="F170" i="3"/>
  <c r="G170" i="3"/>
  <c r="H170" i="3"/>
  <c r="C171" i="3"/>
  <c r="D171" i="3"/>
  <c r="E171" i="3"/>
  <c r="F171" i="3"/>
  <c r="G171" i="3"/>
  <c r="H171" i="3"/>
  <c r="C172" i="3"/>
  <c r="D172" i="3"/>
  <c r="E172" i="3"/>
  <c r="F172" i="3"/>
  <c r="G172" i="3"/>
  <c r="H172" i="3"/>
  <c r="C173" i="3"/>
  <c r="D173" i="3"/>
  <c r="E173" i="3"/>
  <c r="F173" i="3"/>
  <c r="G173" i="3"/>
  <c r="H173" i="3"/>
  <c r="C174" i="3"/>
  <c r="D174" i="3"/>
  <c r="E174" i="3"/>
  <c r="F174" i="3"/>
  <c r="G174" i="3"/>
  <c r="H174" i="3"/>
  <c r="C175" i="3"/>
  <c r="D175" i="3"/>
  <c r="E175" i="3"/>
  <c r="F175" i="3"/>
  <c r="G175" i="3"/>
  <c r="H175" i="3"/>
  <c r="C176" i="3"/>
  <c r="D176" i="3"/>
  <c r="E176" i="3"/>
  <c r="F176" i="3"/>
  <c r="G176" i="3"/>
  <c r="H176" i="3"/>
  <c r="C177" i="3"/>
  <c r="D177" i="3"/>
  <c r="E177" i="3"/>
  <c r="F177" i="3"/>
  <c r="G177" i="3"/>
  <c r="H177" i="3"/>
  <c r="C178" i="3"/>
  <c r="D178" i="3"/>
  <c r="E178" i="3"/>
  <c r="F178" i="3"/>
  <c r="G178" i="3"/>
  <c r="H178" i="3"/>
  <c r="C179" i="3"/>
  <c r="D179" i="3"/>
  <c r="E179" i="3"/>
  <c r="F179" i="3"/>
  <c r="G179" i="3"/>
  <c r="H179" i="3"/>
  <c r="C180" i="3"/>
  <c r="D180" i="3"/>
  <c r="E180" i="3"/>
  <c r="F180" i="3"/>
  <c r="G180" i="3"/>
  <c r="H180" i="3"/>
  <c r="C181" i="3"/>
  <c r="D181" i="3"/>
  <c r="E181" i="3"/>
  <c r="F181" i="3"/>
  <c r="G181" i="3"/>
  <c r="H181" i="3"/>
  <c r="C182" i="3"/>
  <c r="D182" i="3"/>
  <c r="E182" i="3"/>
  <c r="F182" i="3"/>
  <c r="G182" i="3"/>
  <c r="H182" i="3"/>
  <c r="C183" i="3"/>
  <c r="D183" i="3"/>
  <c r="E183" i="3"/>
  <c r="F183" i="3"/>
  <c r="G183" i="3"/>
  <c r="H183" i="3"/>
  <c r="C184" i="3"/>
  <c r="D184" i="3"/>
  <c r="E184" i="3"/>
  <c r="F184" i="3"/>
  <c r="G184" i="3"/>
  <c r="H184" i="3"/>
  <c r="C185" i="3"/>
  <c r="D185" i="3"/>
  <c r="E185" i="3"/>
  <c r="F185" i="3"/>
  <c r="G185" i="3"/>
  <c r="H185" i="3"/>
  <c r="C186" i="3"/>
  <c r="D186" i="3"/>
  <c r="E186" i="3"/>
  <c r="F186" i="3"/>
  <c r="G186" i="3"/>
  <c r="H186" i="3"/>
  <c r="C187" i="3"/>
  <c r="D187" i="3"/>
  <c r="E187" i="3"/>
  <c r="F187" i="3"/>
  <c r="G187" i="3"/>
  <c r="H187" i="3"/>
  <c r="C188" i="3"/>
  <c r="D188" i="3"/>
  <c r="E188" i="3"/>
  <c r="F188" i="3"/>
  <c r="G188" i="3"/>
  <c r="H188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H15" i="3"/>
  <c r="G15" i="3"/>
  <c r="F15" i="3"/>
  <c r="E15" i="3"/>
  <c r="D15" i="3"/>
  <c r="C15" i="3"/>
  <c r="H14" i="3"/>
  <c r="G14" i="3"/>
  <c r="F14" i="3"/>
  <c r="E14" i="3"/>
  <c r="D14" i="3"/>
  <c r="C14" i="3"/>
  <c r="H13" i="3"/>
  <c r="G13" i="3"/>
  <c r="F13" i="3"/>
  <c r="E13" i="3"/>
  <c r="D13" i="3"/>
  <c r="C13" i="3"/>
  <c r="H12" i="3"/>
  <c r="G12" i="3"/>
  <c r="F12" i="3"/>
  <c r="E12" i="3"/>
  <c r="D12" i="3"/>
  <c r="C12" i="3"/>
  <c r="H11" i="3"/>
  <c r="G11" i="3"/>
  <c r="F11" i="3"/>
  <c r="E11" i="3"/>
  <c r="D11" i="3"/>
  <c r="C11" i="3"/>
  <c r="H10" i="3"/>
  <c r="G10" i="3"/>
  <c r="F10" i="3"/>
  <c r="E10" i="3"/>
  <c r="D10" i="3"/>
  <c r="C10" i="3"/>
  <c r="C9" i="3"/>
  <c r="D9" i="3"/>
  <c r="E9" i="3"/>
  <c r="F9" i="3"/>
  <c r="G9" i="3"/>
  <c r="H9" i="3"/>
  <c r="H8" i="3"/>
  <c r="G8" i="3"/>
  <c r="F8" i="3"/>
  <c r="E8" i="3"/>
  <c r="H7" i="3"/>
  <c r="G7" i="3"/>
  <c r="F7" i="3"/>
  <c r="E7" i="3"/>
  <c r="H6" i="3"/>
  <c r="G6" i="3"/>
  <c r="F6" i="3"/>
  <c r="E6" i="3"/>
  <c r="H5" i="3"/>
  <c r="G5" i="3"/>
  <c r="F5" i="3"/>
  <c r="E5" i="3"/>
  <c r="H4" i="3"/>
  <c r="G4" i="3"/>
  <c r="F4" i="3"/>
  <c r="E4" i="3"/>
  <c r="H3" i="3"/>
  <c r="G3" i="3"/>
  <c r="F3" i="3"/>
  <c r="E3" i="3"/>
  <c r="H2" i="3"/>
  <c r="G2" i="3"/>
  <c r="F2" i="3"/>
  <c r="E2" i="3"/>
  <c r="D8" i="3"/>
  <c r="D7" i="3"/>
  <c r="D6" i="3"/>
  <c r="D5" i="3"/>
  <c r="D4" i="3"/>
  <c r="D3" i="3"/>
  <c r="D2" i="3"/>
  <c r="C8" i="3"/>
  <c r="C7" i="3"/>
  <c r="C6" i="3"/>
  <c r="C5" i="3"/>
  <c r="C4" i="3"/>
  <c r="C3" i="3"/>
  <c r="C2" i="3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<sst xmlns="http://schemas.openxmlformats.org/spreadsheetml/2006/main" count="2834" uniqueCount="596">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</sst>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</cellStyleXfs>
  <cellXfs count="101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</cellXfs>
  <cellStyles count="4">
    <cellStyle name="Comma" xfId="3" builtinId="3"/>
    <cellStyle name="Comma [0]" xfId="1" builtinId="6"/>
    <cellStyle name="Neutral" xfId="2" builtinId="28"/>
    <cellStyle name="Normal" xfId="0" builtinId="0"/>
  </cellStyles>
  <dxfs count="992"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ont>
        <color theme="0"/>
      </font>
      <fill>
        <patternFill>
          <bgColor theme="5" tint="-0.24994659260841701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11" zoomScale="103" zoomScaleNormal="146" workbookViewId="0">
      <selection activeCell="S25" sqref="S25:X25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79">
        <f ca="1">TODAY()</f>
        <v>45994</v>
      </c>
      <c r="C1" s="79"/>
      <c r="D1" s="79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7</v>
      </c>
      <c r="R6" s="25">
        <f t="shared" ca="1" si="1"/>
        <v>7</v>
      </c>
      <c r="S6" s="25">
        <f t="shared" ca="1" si="1"/>
        <v>7</v>
      </c>
      <c r="T6" s="25">
        <f t="shared" ca="1" si="1"/>
        <v>7</v>
      </c>
      <c r="U6" s="25">
        <f t="shared" ca="1" si="1"/>
        <v>8</v>
      </c>
      <c r="V6" s="25">
        <f ca="1">IF(V7="","",$B$1-V7)</f>
        <v>8</v>
      </c>
      <c r="W6" s="25">
        <f ca="1">IF(W7="","",$B$1-W7)</f>
        <v>8</v>
      </c>
      <c r="X6" s="25">
        <f ca="1">IF(X7="","",$B$1-X7)</f>
        <v>8</v>
      </c>
      <c r="Y6" s="55"/>
    </row>
    <row r="7" spans="1:25" ht="38.25" customHeight="1" x14ac:dyDescent="0.25">
      <c r="B7" s="80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81"/>
      <c r="Y8" s="55"/>
    </row>
    <row r="9" spans="1:25" x14ac:dyDescent="0.25">
      <c r="B9" s="81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82"/>
      <c r="C10" s="31">
        <f t="shared" ref="C10:H10" ca="1" si="2">IF(C11="","",$B$1-C11)</f>
        <v>12</v>
      </c>
      <c r="D10" s="25">
        <f t="shared" ca="1" si="2"/>
        <v>12</v>
      </c>
      <c r="E10" s="25">
        <f t="shared" ca="1" si="2"/>
        <v>12</v>
      </c>
      <c r="F10" s="25">
        <f t="shared" ca="1" si="2"/>
        <v>12</v>
      </c>
      <c r="G10" s="25">
        <f t="shared" ca="1" si="2"/>
        <v>12</v>
      </c>
      <c r="H10" s="25">
        <f t="shared" ca="1" si="2"/>
        <v>12</v>
      </c>
      <c r="J10" s="25">
        <f t="shared" ref="J10:P10" ca="1" si="3">IF(J11="","",$B$1-J11)</f>
        <v>12</v>
      </c>
      <c r="K10" s="25">
        <f t="shared" ca="1" si="3"/>
        <v>10</v>
      </c>
      <c r="L10" s="25">
        <f t="shared" ca="1" si="3"/>
        <v>10</v>
      </c>
      <c r="M10" s="25">
        <f t="shared" ca="1" si="3"/>
        <v>10</v>
      </c>
      <c r="N10" s="25">
        <f t="shared" ca="1" si="3"/>
        <v>10</v>
      </c>
      <c r="O10" s="25">
        <f t="shared" ca="1" si="3"/>
        <v>10</v>
      </c>
      <c r="P10" s="25">
        <f t="shared" ca="1" si="3"/>
        <v>10</v>
      </c>
      <c r="R10" s="25">
        <f t="shared" ref="R10:W10" ca="1" si="4">IF(R11="","",$B$1-R11)</f>
        <v>10</v>
      </c>
      <c r="S10" s="25">
        <f t="shared" ca="1" si="4"/>
        <v>9</v>
      </c>
      <c r="T10" s="25">
        <f t="shared" ca="1" si="4"/>
        <v>9</v>
      </c>
      <c r="U10" s="25">
        <f t="shared" ca="1" si="4"/>
        <v>8</v>
      </c>
      <c r="V10" s="25">
        <f t="shared" ca="1" si="4"/>
        <v>8</v>
      </c>
      <c r="W10" s="25">
        <f t="shared" ca="1" si="4"/>
        <v>8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13</v>
      </c>
      <c r="D14" s="25">
        <f t="shared" ca="1" si="5"/>
        <v>13</v>
      </c>
      <c r="E14" s="25">
        <f t="shared" ca="1" si="5"/>
        <v>13</v>
      </c>
      <c r="F14" s="25">
        <f t="shared" ca="1" si="5"/>
        <v>13</v>
      </c>
      <c r="G14" s="25">
        <f t="shared" ca="1" si="5"/>
        <v>13</v>
      </c>
      <c r="H14" s="25">
        <f t="shared" ca="1" si="5"/>
        <v>13</v>
      </c>
      <c r="J14" s="25">
        <f t="shared" ref="J14:P14" ca="1" si="6">IF(J15="","",$B$1-J15)</f>
        <v>13</v>
      </c>
      <c r="K14" s="25">
        <f t="shared" ca="1" si="6"/>
        <v>11</v>
      </c>
      <c r="L14" s="25">
        <f t="shared" ca="1" si="6"/>
        <v>11</v>
      </c>
      <c r="M14" s="25">
        <f t="shared" ca="1" si="6"/>
        <v>11</v>
      </c>
      <c r="N14" s="25">
        <f t="shared" ca="1" si="6"/>
        <v>11</v>
      </c>
      <c r="O14" s="25">
        <f t="shared" ca="1" si="6"/>
        <v>11</v>
      </c>
      <c r="P14" s="25">
        <f t="shared" ca="1" si="6"/>
        <v>11</v>
      </c>
      <c r="R14" s="25">
        <f t="shared" ref="R14:W14" ca="1" si="7">IF(R15="","",$B$1-R15)</f>
        <v>11</v>
      </c>
      <c r="S14" s="25">
        <f t="shared" ca="1" si="7"/>
        <v>9</v>
      </c>
      <c r="T14" s="25">
        <f t="shared" ca="1" si="7"/>
        <v>9</v>
      </c>
      <c r="U14" s="25">
        <f t="shared" ca="1" si="7"/>
        <v>9</v>
      </c>
      <c r="V14" s="25">
        <f t="shared" ca="1" si="7"/>
        <v>9</v>
      </c>
      <c r="W14" s="25">
        <f t="shared" ca="1" si="7"/>
        <v>9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26</v>
      </c>
      <c r="K20" s="25">
        <f ca="1">IF(K21="","",$B$1-K21)</f>
        <v>26</v>
      </c>
      <c r="X20" s="25"/>
      <c r="AF20" s="25"/>
      <c r="AG20" s="25"/>
      <c r="AH20" s="25">
        <f ca="1">IF(AH21="","",$B$1-AH21)</f>
        <v>26</v>
      </c>
      <c r="AI20" s="25">
        <f ca="1">IF(AI21="","",$B$1-AI21)</f>
        <v>26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>
        <f t="shared" ref="C24:H24" ca="1" si="8">IF(C25="","",$B$1-C25)</f>
        <v>29</v>
      </c>
      <c r="D24" s="25">
        <f t="shared" ca="1" si="8"/>
        <v>29</v>
      </c>
      <c r="E24" s="25">
        <f t="shared" ca="1" si="8"/>
        <v>29</v>
      </c>
      <c r="F24" s="25">
        <f t="shared" ca="1" si="8"/>
        <v>29</v>
      </c>
      <c r="G24" s="25">
        <f t="shared" ca="1" si="8"/>
        <v>29</v>
      </c>
      <c r="H24" s="25">
        <f t="shared" ca="1" si="8"/>
        <v>29</v>
      </c>
      <c r="J24" s="25">
        <f ca="1">IF(J25="","",$B$1-J25)</f>
        <v>29</v>
      </c>
      <c r="K24" s="25">
        <f t="shared" ref="K24:AI24" ca="1" si="9">IF(K25="","",$B$1-K25)</f>
        <v>2</v>
      </c>
      <c r="L24" s="25">
        <f t="shared" ca="1" si="9"/>
        <v>2</v>
      </c>
      <c r="M24" s="25">
        <f t="shared" ca="1" si="9"/>
        <v>2</v>
      </c>
      <c r="N24" s="25">
        <f t="shared" ca="1" si="9"/>
        <v>3</v>
      </c>
      <c r="O24" s="25">
        <f t="shared" ca="1" si="9"/>
        <v>3</v>
      </c>
      <c r="P24" s="25">
        <f t="shared" ca="1" si="9"/>
        <v>3</v>
      </c>
      <c r="R24" s="25">
        <f t="shared" ca="1" si="9"/>
        <v>3</v>
      </c>
      <c r="S24" s="25">
        <f t="shared" ca="1" si="9"/>
        <v>0</v>
      </c>
      <c r="T24" s="25">
        <f t="shared" ca="1" si="9"/>
        <v>0</v>
      </c>
      <c r="U24" s="25">
        <f t="shared" ca="1" si="9"/>
        <v>0</v>
      </c>
      <c r="V24" s="25">
        <f t="shared" ca="1" si="9"/>
        <v>0</v>
      </c>
      <c r="W24" s="25">
        <f t="shared" ca="1" si="9"/>
        <v>0</v>
      </c>
      <c r="X24" s="25">
        <f t="shared" ca="1" si="9"/>
        <v>0</v>
      </c>
      <c r="Z24" s="25">
        <f t="shared" ca="1" si="9"/>
        <v>30</v>
      </c>
      <c r="AA24" s="25">
        <f t="shared" ca="1" si="9"/>
        <v>27</v>
      </c>
      <c r="AB24" s="25">
        <f t="shared" ca="1" si="9"/>
        <v>27</v>
      </c>
      <c r="AC24" s="25">
        <f t="shared" ca="1" si="9"/>
        <v>27</v>
      </c>
      <c r="AD24" s="25">
        <f t="shared" ca="1" si="9"/>
        <v>27</v>
      </c>
      <c r="AE24" s="25">
        <f t="shared" ca="1" si="9"/>
        <v>27</v>
      </c>
      <c r="AF24" s="25">
        <f t="shared" ca="1" si="9"/>
        <v>27</v>
      </c>
      <c r="AG24" s="25">
        <f t="shared" ca="1" si="9"/>
        <v>27</v>
      </c>
      <c r="AH24" s="25">
        <f t="shared" ca="1" si="9"/>
        <v>26</v>
      </c>
      <c r="AI24" s="25">
        <f t="shared" ca="1" si="9"/>
        <v>26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>
        <v>45965</v>
      </c>
      <c r="D25" s="60">
        <v>45965</v>
      </c>
      <c r="E25" s="60">
        <v>45965</v>
      </c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14</v>
      </c>
      <c r="D28" s="25">
        <f t="shared" ca="1" si="10"/>
        <v>14</v>
      </c>
      <c r="E28" s="25">
        <f t="shared" ca="1" si="10"/>
        <v>14</v>
      </c>
      <c r="F28" s="25">
        <f t="shared" ca="1" si="10"/>
        <v>14</v>
      </c>
      <c r="G28" s="25">
        <f t="shared" ca="1" si="10"/>
        <v>14</v>
      </c>
      <c r="H28" s="25">
        <f t="shared" ca="1" si="10"/>
        <v>14</v>
      </c>
      <c r="J28" s="25">
        <f ca="1">IF(J29="","",$B$1-J29)</f>
        <v>14</v>
      </c>
      <c r="K28" s="25">
        <f t="shared" ref="K28:P28" ca="1" si="11">IF(K29="","",$B$1-K29)</f>
        <v>7</v>
      </c>
      <c r="L28" s="25">
        <f t="shared" ca="1" si="11"/>
        <v>7</v>
      </c>
      <c r="M28" s="25">
        <f t="shared" ca="1" si="11"/>
        <v>7</v>
      </c>
      <c r="N28" s="25">
        <f t="shared" ca="1" si="11"/>
        <v>7</v>
      </c>
      <c r="O28" s="25">
        <f t="shared" ca="1" si="11"/>
        <v>6</v>
      </c>
      <c r="P28" s="25">
        <f t="shared" ca="1" si="11"/>
        <v>6</v>
      </c>
      <c r="R28" s="25">
        <f t="shared" ref="R28:X28" ca="1" si="12">IF(R29="","",$B$1-R29)</f>
        <v>6</v>
      </c>
      <c r="S28" s="25">
        <f ca="1">IF(S29="","",$B$1-S29)</f>
        <v>2</v>
      </c>
      <c r="T28" s="25">
        <f ca="1">IF(T29="","",$B$1-T29)</f>
        <v>2</v>
      </c>
      <c r="U28" s="25">
        <f ca="1">IF(U29="","",$B$1-U29)</f>
        <v>2</v>
      </c>
      <c r="V28" s="25">
        <f ca="1">IF(V29="","",$B$1-V29)</f>
        <v>2</v>
      </c>
      <c r="W28" s="25">
        <f t="shared" ca="1" si="12"/>
        <v>0</v>
      </c>
      <c r="X28" s="25">
        <f t="shared" ca="1" si="12"/>
        <v>0</v>
      </c>
      <c r="Z28" s="25">
        <f t="shared" ref="Z28:AI28" ca="1" si="13">IF(Z29="","",$B$1-Z29)</f>
        <v>0</v>
      </c>
      <c r="AA28" s="25">
        <f t="shared" ca="1" si="13"/>
        <v>28</v>
      </c>
      <c r="AB28" s="25">
        <f t="shared" ca="1" si="13"/>
        <v>28</v>
      </c>
      <c r="AC28" s="25">
        <f t="shared" ca="1" si="13"/>
        <v>28</v>
      </c>
      <c r="AD28" s="25">
        <f t="shared" ca="1" si="13"/>
        <v>28</v>
      </c>
      <c r="AE28" s="25">
        <f t="shared" ca="1" si="13"/>
        <v>28</v>
      </c>
      <c r="AF28" s="25">
        <f t="shared" ca="1" si="13"/>
        <v>28</v>
      </c>
      <c r="AG28" s="25">
        <f t="shared" ca="1" si="13"/>
        <v>28</v>
      </c>
      <c r="AH28" s="25">
        <f t="shared" ca="1" si="13"/>
        <v>26</v>
      </c>
      <c r="AI28" s="25">
        <f t="shared" ca="1" si="13"/>
        <v>26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83" t="s">
        <v>184</v>
      </c>
      <c r="I30" s="84"/>
      <c r="J30" s="85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79">
        <v>45978</v>
      </c>
      <c r="C36" s="79"/>
      <c r="D36" s="79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22</v>
      </c>
      <c r="D41" s="25">
        <f t="shared" ca="1" si="14"/>
        <v>22</v>
      </c>
      <c r="E41" s="25">
        <f t="shared" ca="1" si="14"/>
        <v>22</v>
      </c>
      <c r="F41" s="25">
        <f t="shared" ca="1" si="14"/>
        <v>22</v>
      </c>
      <c r="G41" s="25">
        <f t="shared" ca="1" si="14"/>
        <v>21</v>
      </c>
      <c r="H41" s="25">
        <f t="shared" ca="1" si="14"/>
        <v>21</v>
      </c>
      <c r="J41" s="25">
        <f t="shared" ca="1" si="14"/>
        <v>21</v>
      </c>
      <c r="K41" s="25">
        <f t="shared" ca="1" si="14"/>
        <v>21</v>
      </c>
      <c r="L41" s="25">
        <f t="shared" ca="1" si="14"/>
        <v>21</v>
      </c>
      <c r="M41" s="25">
        <f t="shared" ca="1" si="14"/>
        <v>21</v>
      </c>
      <c r="N41" s="25">
        <f t="shared" ca="1" si="14"/>
        <v>21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24</v>
      </c>
      <c r="D45" s="25">
        <f ca="1">IF(D46="","",$B$1-D46)</f>
        <v>24</v>
      </c>
      <c r="E45" s="25">
        <f ca="1">IF(E46="","",$B$1-E46)</f>
        <v>23</v>
      </c>
      <c r="F45" s="25">
        <f ca="1">IF(F46="","",$B$1-F46)</f>
        <v>23</v>
      </c>
      <c r="H45" s="25">
        <f ca="1">IF(H46="","",$B$1-H46)</f>
        <v>23</v>
      </c>
      <c r="J45" s="25">
        <f t="shared" ref="J45:P45" ca="1" si="15">IF(J46="","",$B$1-J46)</f>
        <v>23</v>
      </c>
      <c r="K45" s="25">
        <f t="shared" ca="1" si="15"/>
        <v>23</v>
      </c>
      <c r="L45" s="25">
        <f t="shared" ca="1" si="15"/>
        <v>23</v>
      </c>
      <c r="M45" s="25">
        <f t="shared" ca="1" si="15"/>
        <v>23</v>
      </c>
      <c r="N45" s="25">
        <f t="shared" ca="1" si="15"/>
        <v>22</v>
      </c>
      <c r="O45" s="25">
        <f t="shared" ca="1" si="15"/>
        <v>22</v>
      </c>
      <c r="P45" s="25">
        <f t="shared" ca="1" si="15"/>
        <v>22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25</v>
      </c>
      <c r="D49" s="25">
        <f ca="1">IF(D50="","",$B$1-D50)</f>
        <v>25</v>
      </c>
      <c r="E49" s="25">
        <f ca="1">IF(E50="","",$B$1-E50)</f>
        <v>25</v>
      </c>
      <c r="F49" s="25">
        <f ca="1">IF(F50="","",$B$1-F50)</f>
        <v>25</v>
      </c>
      <c r="H49" s="25">
        <f ca="1">IF(H50="","",$B$1-H50)</f>
        <v>25</v>
      </c>
      <c r="J49" s="25">
        <f t="shared" ref="J49:P49" ca="1" si="16">IF(J50="","",$B$1-J50)</f>
        <v>25</v>
      </c>
      <c r="K49" s="25">
        <f t="shared" ca="1" si="16"/>
        <v>25</v>
      </c>
      <c r="L49" s="25">
        <f t="shared" ca="1" si="16"/>
        <v>24</v>
      </c>
      <c r="M49" s="25">
        <f t="shared" ca="1" si="16"/>
        <v>24</v>
      </c>
      <c r="N49" s="25">
        <f t="shared" ca="1" si="16"/>
        <v>24</v>
      </c>
      <c r="O49" s="25">
        <f t="shared" ca="1" si="16"/>
        <v>24</v>
      </c>
      <c r="P49" s="25">
        <f t="shared" ca="1" si="16"/>
        <v>24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83" t="s">
        <v>184</v>
      </c>
      <c r="G51" s="84"/>
      <c r="H51" s="85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17</v>
      </c>
      <c r="D58" s="25">
        <f t="shared" ca="1" si="17"/>
        <v>17</v>
      </c>
      <c r="E58" s="25">
        <f t="shared" ca="1" si="17"/>
        <v>17</v>
      </c>
      <c r="F58" s="25">
        <f t="shared" ca="1" si="17"/>
        <v>17</v>
      </c>
      <c r="G58" s="25">
        <f t="shared" ca="1" si="17"/>
        <v>17</v>
      </c>
      <c r="H58" s="25">
        <f t="shared" ca="1" si="17"/>
        <v>17</v>
      </c>
      <c r="J58" s="25">
        <f t="shared" ref="J58:P58" ca="1" si="18">IF(J59="","",$B$1-J59)</f>
        <v>17</v>
      </c>
      <c r="K58" s="25">
        <f t="shared" ca="1" si="18"/>
        <v>16</v>
      </c>
      <c r="L58" s="25">
        <f t="shared" ca="1" si="18"/>
        <v>16</v>
      </c>
      <c r="M58" s="25">
        <f t="shared" ca="1" si="18"/>
        <v>16</v>
      </c>
      <c r="N58" s="25">
        <f t="shared" ca="1" si="18"/>
        <v>16</v>
      </c>
      <c r="O58" s="25">
        <f t="shared" ca="1" si="18"/>
        <v>16</v>
      </c>
      <c r="P58" s="25">
        <f t="shared" ca="1" si="18"/>
        <v>16</v>
      </c>
      <c r="R58" s="25">
        <f t="shared" ref="R58:X58" ca="1" si="19">IF(R59="","",$B$1-R59)</f>
        <v>16</v>
      </c>
      <c r="S58" s="25">
        <f t="shared" ca="1" si="19"/>
        <v>15</v>
      </c>
      <c r="T58" s="25">
        <f t="shared" ca="1" si="19"/>
        <v>15</v>
      </c>
      <c r="U58" s="25">
        <f t="shared" ca="1" si="19"/>
        <v>15</v>
      </c>
      <c r="V58" s="25">
        <f t="shared" ca="1" si="19"/>
        <v>15</v>
      </c>
      <c r="W58" s="25">
        <f t="shared" ca="1" si="19"/>
        <v>15</v>
      </c>
      <c r="X58" s="25">
        <f t="shared" ca="1" si="19"/>
        <v>15</v>
      </c>
      <c r="Z58" s="25">
        <f ca="1">IF(Z59="","",$B$1-Z59)</f>
        <v>15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0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81"/>
      <c r="AC60" s="55"/>
    </row>
    <row r="61" spans="1:29" x14ac:dyDescent="0.25">
      <c r="B61" s="81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82"/>
      <c r="C62" s="25" t="str">
        <f t="shared" ref="C62:H62" si="20">IF(C63="","",$B$1-C63)</f>
        <v/>
      </c>
      <c r="D62" s="25">
        <f t="shared" ca="1" si="20"/>
        <v>18</v>
      </c>
      <c r="E62" s="25">
        <f t="shared" ca="1" si="20"/>
        <v>18</v>
      </c>
      <c r="F62" s="25">
        <f t="shared" ca="1" si="20"/>
        <v>18</v>
      </c>
      <c r="G62" s="25">
        <f t="shared" ca="1" si="20"/>
        <v>18</v>
      </c>
      <c r="H62" s="25">
        <f t="shared" ca="1" si="20"/>
        <v>18</v>
      </c>
      <c r="J62" s="25">
        <f t="shared" ref="J62:P62" ca="1" si="21">IF(J63="","",$B$1-J63)</f>
        <v>18</v>
      </c>
      <c r="K62" s="25">
        <f t="shared" ca="1" si="21"/>
        <v>18</v>
      </c>
      <c r="L62" s="25">
        <f t="shared" ca="1" si="21"/>
        <v>18</v>
      </c>
      <c r="M62" s="25">
        <f t="shared" ca="1" si="21"/>
        <v>19</v>
      </c>
      <c r="N62" s="25">
        <f t="shared" ca="1" si="21"/>
        <v>19</v>
      </c>
      <c r="O62" s="25">
        <f t="shared" ca="1" si="21"/>
        <v>19</v>
      </c>
      <c r="P62" s="25">
        <f t="shared" ca="1" si="21"/>
        <v>19</v>
      </c>
      <c r="R62" s="25">
        <f t="shared" ref="R62:X62" ca="1" si="22">IF(R63="","",$B$1-R63)</f>
        <v>19</v>
      </c>
      <c r="S62" s="25">
        <f t="shared" ca="1" si="22"/>
        <v>19</v>
      </c>
      <c r="T62" s="25">
        <f t="shared" ca="1" si="22"/>
        <v>19</v>
      </c>
      <c r="U62" s="25">
        <f t="shared" ca="1" si="22"/>
        <v>20</v>
      </c>
      <c r="V62" s="25">
        <f t="shared" ca="1" si="22"/>
        <v>20</v>
      </c>
      <c r="W62" s="25">
        <f t="shared" ca="1" si="22"/>
        <v>20</v>
      </c>
      <c r="X62" s="25">
        <f t="shared" ca="1" si="22"/>
        <v>20</v>
      </c>
      <c r="Z62" s="25">
        <f ca="1">IF(Z63="","",$B$1-Z63)</f>
        <v>20</v>
      </c>
      <c r="AA62" s="25">
        <f ca="1">IF(AA63="","",$B$1-AA63)</f>
        <v>20</v>
      </c>
      <c r="AB62" s="25">
        <f ca="1">IF(AB63="","",$B$1-AB63)</f>
        <v>20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3</v>
      </c>
      <c r="D71" s="25">
        <f t="shared" ca="1" si="23"/>
        <v>3</v>
      </c>
      <c r="E71" s="25">
        <f t="shared" ca="1" si="23"/>
        <v>3</v>
      </c>
      <c r="F71" s="25">
        <f t="shared" ca="1" si="23"/>
        <v>4</v>
      </c>
      <c r="G71" s="25">
        <f t="shared" ca="1" si="23"/>
        <v>4</v>
      </c>
      <c r="H71" s="25">
        <f t="shared" ca="1" si="23"/>
        <v>4</v>
      </c>
      <c r="J71" s="25">
        <f ca="1">IF(J72="","",$B$1-J72)</f>
        <v>4</v>
      </c>
      <c r="K71" s="25">
        <f t="shared" ref="K71:P71" ca="1" si="24">IF(K72="","",$B$1-K72)</f>
        <v>4</v>
      </c>
      <c r="L71" s="25">
        <f t="shared" ca="1" si="24"/>
        <v>4</v>
      </c>
      <c r="M71" s="25">
        <f t="shared" ca="1" si="24"/>
        <v>4</v>
      </c>
      <c r="N71" s="25">
        <f t="shared" ca="1" si="24"/>
        <v>5</v>
      </c>
      <c r="O71" s="25">
        <f t="shared" ca="1" si="24"/>
        <v>5</v>
      </c>
      <c r="P71" s="25">
        <f t="shared" ca="1" si="24"/>
        <v>5</v>
      </c>
      <c r="R71" s="25">
        <f t="shared" ref="R71:X71" ca="1" si="25">IF(R72="","",$B$1-R72)</f>
        <v>5</v>
      </c>
      <c r="S71" s="25">
        <f t="shared" ca="1" si="25"/>
        <v>5</v>
      </c>
      <c r="T71" s="25">
        <f t="shared" ca="1" si="25"/>
        <v>5</v>
      </c>
      <c r="U71" s="25">
        <f t="shared" ca="1" si="25"/>
        <v>5</v>
      </c>
      <c r="V71" s="25">
        <f t="shared" ca="1" si="25"/>
        <v>6</v>
      </c>
      <c r="W71" s="25">
        <f t="shared" ca="1" si="25"/>
        <v>6</v>
      </c>
      <c r="X71" s="25">
        <f t="shared" ca="1" si="25"/>
        <v>6</v>
      </c>
      <c r="Z71" s="25">
        <f ca="1">IF(Z72="","",$B$1-Z72)</f>
        <v>6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76" t="s">
        <v>196</v>
      </c>
    </row>
    <row r="73" spans="1:28" x14ac:dyDescent="0.25">
      <c r="B73" s="54"/>
      <c r="AB73" s="77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77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78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991" priority="89">
      <formula>LEN(TRIM(C42))=0</formula>
    </cfRule>
    <cfRule type="notContainsBlanks" dxfId="990" priority="90">
      <formula>LEN(TRIM(C42))&gt;0</formula>
    </cfRule>
    <cfRule type="containsBlanks" dxfId="989" priority="91">
      <formula>LEN(TRIM(C42))=0</formula>
    </cfRule>
    <cfRule type="notContainsBlanks" dxfId="988" priority="92">
      <formula>LEN(TRIM(C42))&gt;0</formula>
    </cfRule>
  </conditionalFormatting>
  <conditionalFormatting sqref="C46:F46">
    <cfRule type="containsBlanks" dxfId="987" priority="103">
      <formula>LEN(TRIM(C46))=0</formula>
    </cfRule>
    <cfRule type="notContainsBlanks" dxfId="986" priority="104">
      <formula>LEN(TRIM(C46))&gt;0</formula>
    </cfRule>
  </conditionalFormatting>
  <conditionalFormatting sqref="C50:F50">
    <cfRule type="containsBlanks" dxfId="985" priority="243">
      <formula>LEN(TRIM(C50))=0</formula>
    </cfRule>
    <cfRule type="notContainsBlanks" dxfId="984" priority="244">
      <formula>LEN(TRIM(C50))&gt;0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containsBlanks" dxfId="983" priority="190">
      <formula>LEN(TRIM(C7))=0</formula>
    </cfRule>
    <cfRule type="notContainsBlanks" dxfId="982" priority="191">
      <formula>LEN(TRIM(C7))&gt;0</formula>
    </cfRule>
  </conditionalFormatting>
  <conditionalFormatting sqref="C11:H11">
    <cfRule type="containsBlanks" dxfId="981" priority="236">
      <formula>LEN(TRIM(C11))=0</formula>
    </cfRule>
    <cfRule type="notContainsBlanks" dxfId="980" priority="237">
      <formula>LEN(TRIM(C11))&gt;0</formula>
    </cfRule>
  </conditionalFormatting>
  <conditionalFormatting sqref="C15:H15">
    <cfRule type="containsBlanks" dxfId="979" priority="55">
      <formula>LEN(TRIM(C15))=0</formula>
    </cfRule>
    <cfRule type="notContainsBlanks" dxfId="978" priority="56">
      <formula>LEN(TRIM(C15))&gt;0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977" priority="151">
      <formula>LEN(TRIM(C25))=0</formula>
    </cfRule>
    <cfRule type="notContainsBlanks" dxfId="976" priority="152">
      <formula>LEN(TRIM(C25))&gt;0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975" priority="57">
      <formula>LEN(TRIM(C29))=0</formula>
    </cfRule>
    <cfRule type="notContainsBlanks" dxfId="974" priority="58">
      <formula>LEN(TRIM(C29))&gt;0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973" priority="93">
      <formula>LEN(TRIM(C42))=0</formula>
    </cfRule>
    <cfRule type="notContainsBlanks" dxfId="972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971" priority="157">
      <formula>LEN(TRIM(C59))=0</formula>
    </cfRule>
    <cfRule type="notContainsBlanks" dxfId="970" priority="158">
      <formula>LEN(TRIM(C59))&gt;0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969" priority="73">
      <formula>LEN(TRIM(C63))=0</formula>
    </cfRule>
    <cfRule type="notContainsBlanks" dxfId="968" priority="74">
      <formula>LEN(TRIM(C63))&gt;0</formula>
    </cfRule>
  </conditionalFormatting>
  <conditionalFormatting sqref="C72:E72">
    <cfRule type="containsBlanks" dxfId="967" priority="121">
      <formula>LEN(TRIM(C72))=0</formula>
    </cfRule>
    <cfRule type="notContainsBlanks" dxfId="966" priority="122">
      <formula>LEN(TRIM(C72))&gt;0</formula>
    </cfRule>
    <cfRule type="containsBlanks" dxfId="965" priority="123">
      <formula>LEN(TRIM(C72))=0</formula>
    </cfRule>
    <cfRule type="notContainsBlanks" dxfId="964" priority="124">
      <formula>LEN(TRIM(C72))&gt;0</formula>
    </cfRule>
  </conditionalFormatting>
  <conditionalFormatting sqref="C76:H76">
    <cfRule type="containsBlanks" dxfId="963" priority="188">
      <formula>LEN(TRIM(C76))=0</formula>
    </cfRule>
    <cfRule type="notContainsBlanks" dxfId="962" priority="189">
      <formula>LEN(TRIM(C76))&gt;0</formula>
    </cfRule>
  </conditionalFormatting>
  <conditionalFormatting sqref="D63:H63">
    <cfRule type="containsBlanks" dxfId="961" priority="71">
      <formula>LEN(TRIM(D63))=0</formula>
    </cfRule>
    <cfRule type="notContainsBlanks" dxfId="960" priority="72">
      <formula>LEN(TRIM(D63))&gt;0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959" priority="222">
      <formula>LEN(TRIM(E46))=0</formula>
    </cfRule>
    <cfRule type="notContainsBlanks" dxfId="958" priority="223">
      <formula>LEN(TRIM(E46))&gt;0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957" priority="176">
      <formula>LEN(TRIM(G42))=0</formula>
    </cfRule>
    <cfRule type="notContainsBlanks" dxfId="956" priority="177">
      <formula>LEN(TRIM(G42))&gt;0</formula>
    </cfRule>
  </conditionalFormatting>
  <conditionalFormatting sqref="H6"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955" priority="99">
      <formula>LEN(TRIM(H46))=0</formula>
    </cfRule>
    <cfRule type="notContainsBlanks" dxfId="954" priority="100">
      <formula>LEN(TRIM(H46))&gt;0</formula>
    </cfRule>
    <cfRule type="containsBlanks" dxfId="953" priority="101">
      <formula>LEN(TRIM(H46))=0</formula>
    </cfRule>
    <cfRule type="notContainsBlanks" dxfId="952" priority="102">
      <formula>LEN(TRIM(H46))&gt;0</formula>
    </cfRule>
  </conditionalFormatting>
  <conditionalFormatting sqref="H50">
    <cfRule type="containsBlanks" dxfId="951" priority="107">
      <formula>LEN(TRIM(H50))=0</formula>
    </cfRule>
    <cfRule type="notContainsBlanks" dxfId="950" priority="108">
      <formula>LEN(TRIM(H50))&gt;0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949" priority="214">
      <formula>LEN(TRIM(J72))=0</formula>
    </cfRule>
    <cfRule type="notContainsBlanks" dxfId="948" priority="215">
      <formula>LEN(TRIM(J72))&gt;0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947" priority="109">
      <formula>LEN(TRIM(J21))=0</formula>
    </cfRule>
    <cfRule type="notContainsBlanks" dxfId="946" priority="110">
      <formula>LEN(TRIM(J21))&gt;0</formula>
    </cfRule>
  </conditionalFormatting>
  <conditionalFormatting sqref="J63:L63">
    <cfRule type="containsBlanks" dxfId="945" priority="155">
      <formula>LEN(TRIM(J63))=0</formula>
    </cfRule>
    <cfRule type="notContainsBlanks" dxfId="944" priority="156">
      <formula>LEN(TRIM(J63))&gt;0</formula>
    </cfRule>
  </conditionalFormatting>
  <conditionalFormatting sqref="J46:M46">
    <cfRule type="containsBlanks" dxfId="943" priority="95">
      <formula>LEN(TRIM(J46))=0</formula>
    </cfRule>
    <cfRule type="notContainsBlanks" dxfId="942" priority="96">
      <formula>LEN(TRIM(J46))&gt;0</formula>
    </cfRule>
  </conditionalFormatting>
  <conditionalFormatting sqref="J42:N42">
    <cfRule type="containsBlanks" dxfId="941" priority="85">
      <formula>LEN(TRIM(J42))=0</formula>
    </cfRule>
    <cfRule type="notContainsBlanks" dxfId="940" priority="86">
      <formula>LEN(TRIM(J42))&gt;0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939" priority="149">
      <formula>LEN(TRIM(J7))=0</formula>
    </cfRule>
    <cfRule type="notContainsBlanks" dxfId="938" priority="150">
      <formula>LEN(TRIM(J7))&gt;0</formula>
    </cfRule>
  </conditionalFormatting>
  <conditionalFormatting sqref="J11:P11">
    <cfRule type="containsBlanks" dxfId="937" priority="51">
      <formula>LEN(TRIM(J11))=0</formula>
    </cfRule>
    <cfRule type="notContainsBlanks" dxfId="936" priority="52">
      <formula>LEN(TRIM(J11))&gt;0</formula>
    </cfRule>
  </conditionalFormatting>
  <conditionalFormatting sqref="J15:P15">
    <cfRule type="containsBlanks" dxfId="935" priority="53">
      <formula>LEN(TRIM(J15))=0</formula>
    </cfRule>
    <cfRule type="notContainsBlanks" dxfId="934" priority="54">
      <formula>LEN(TRIM(J15))&gt;0</formula>
    </cfRule>
  </conditionalFormatting>
  <conditionalFormatting sqref="J25:M25">
    <cfRule type="containsBlanks" dxfId="933" priority="31">
      <formula>LEN(TRIM(J25))=0</formula>
    </cfRule>
    <cfRule type="notContainsBlanks" dxfId="932" priority="32">
      <formula>LEN(TRIM(J25))&gt;0</formula>
    </cfRule>
  </conditionalFormatting>
  <conditionalFormatting sqref="J29:P29">
    <cfRule type="containsBlanks" dxfId="931" priority="15">
      <formula>LEN(TRIM(J29))=0</formula>
    </cfRule>
    <cfRule type="notContainsBlanks" dxfId="930" priority="16">
      <formula>LEN(TRIM(J29))&gt;0</formula>
    </cfRule>
  </conditionalFormatting>
  <conditionalFormatting sqref="J42:P42">
    <cfRule type="containsBlanks" dxfId="929" priority="87">
      <formula>LEN(TRIM(J42))=0</formula>
    </cfRule>
    <cfRule type="notContainsBlanks" dxfId="928" priority="88">
      <formula>LEN(TRIM(J42))&gt;0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927" priority="97">
      <formula>LEN(TRIM(J46))=0</formula>
    </cfRule>
    <cfRule type="notContainsBlanks" dxfId="926" priority="98">
      <formula>LEN(TRIM(J46))&gt;0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containsBlanks" dxfId="925" priority="105">
      <formula>LEN(TRIM(J50))=0</formula>
    </cfRule>
    <cfRule type="notContainsBlanks" dxfId="924" priority="106">
      <formula>LEN(TRIM(J50))&gt;0</formula>
    </cfRule>
  </conditionalFormatting>
  <conditionalFormatting sqref="J59:P59">
    <cfRule type="containsBlanks" dxfId="923" priority="69">
      <formula>LEN(TRIM(J59))=0</formula>
    </cfRule>
    <cfRule type="notContainsBlanks" dxfId="922" priority="70">
      <formula>LEN(TRIM(J59))&gt;0</formula>
    </cfRule>
  </conditionalFormatting>
  <conditionalFormatting sqref="J63:P63">
    <cfRule type="containsBlanks" dxfId="921" priority="77">
      <formula>LEN(TRIM(J63))=0</formula>
    </cfRule>
    <cfRule type="notContainsBlanks" dxfId="920" priority="78">
      <formula>LEN(TRIM(J63))&gt;0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M72">
    <cfRule type="containsBlanks" dxfId="919" priority="127">
      <formula>LEN(TRIM(J72))=0</formula>
    </cfRule>
    <cfRule type="notContainsBlanks" dxfId="918" priority="128">
      <formula>LEN(TRIM(J72))&gt;0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containsBlanks" dxfId="917" priority="186">
      <formula>LEN(TRIM(J76))=0</formula>
    </cfRule>
    <cfRule type="notContainsBlanks" dxfId="916" priority="187">
      <formula>LEN(TRIM(J76))&gt;0</formula>
    </cfRule>
  </conditionalFormatting>
  <conditionalFormatting sqref="K11:P11">
    <cfRule type="containsBlanks" dxfId="915" priority="153">
      <formula>LEN(TRIM(K11))=0</formula>
    </cfRule>
    <cfRule type="notContainsBlanks" dxfId="914" priority="154">
      <formula>LEN(TRIM(K11))&gt;0</formula>
    </cfRule>
  </conditionalFormatting>
  <conditionalFormatting sqref="K59:P59">
    <cfRule type="containsBlanks" dxfId="913" priority="159">
      <formula>LEN(TRIM(K59))=0</formula>
    </cfRule>
    <cfRule type="notContainsBlanks" dxfId="912" priority="160">
      <formula>LEN(TRIM(K59))&gt;0</formula>
    </cfRule>
    <cfRule type="containsBlanks" dxfId="911" priority="161">
      <formula>LEN(TRIM(K59))=0</formula>
    </cfRule>
    <cfRule type="notContainsBlanks" dxfId="910" priority="162">
      <formula>LEN(TRIM(K59))&gt;0</formula>
    </cfRule>
  </conditionalFormatting>
  <conditionalFormatting sqref="J72:M72">
    <cfRule type="containsBlanks" dxfId="909" priority="125">
      <formula>LEN(TRIM(J72))=0</formula>
    </cfRule>
    <cfRule type="notContainsBlanks" dxfId="908" priority="126">
      <formula>LEN(TRIM(J72))&gt;0</formula>
    </cfRule>
  </conditionalFormatting>
  <conditionalFormatting sqref="L76:P76">
    <cfRule type="containsBlanks" dxfId="907" priority="199">
      <formula>LEN(TRIM(L76))=0</formula>
    </cfRule>
    <cfRule type="notContainsBlanks" dxfId="906" priority="200">
      <formula>LEN(TRIM(L76))&gt;0</formula>
    </cfRule>
  </conditionalFormatting>
  <conditionalFormatting sqref="M50:P50">
    <cfRule type="containsBlanks" dxfId="905" priority="226">
      <formula>LEN(TRIM(M50))=0</formula>
    </cfRule>
    <cfRule type="notContainsBlanks" dxfId="904" priority="227">
      <formula>LEN(TRIM(M50))&gt;0</formula>
    </cfRule>
  </conditionalFormatting>
  <conditionalFormatting sqref="M63:P63">
    <cfRule type="containsBlanks" dxfId="903" priority="75">
      <formula>LEN(TRIM(M63))=0</formula>
    </cfRule>
    <cfRule type="notContainsBlanks" dxfId="902" priority="76">
      <formula>LEN(TRIM(M63))&gt;0</formula>
    </cfRule>
  </conditionalFormatting>
  <conditionalFormatting sqref="N46:P46">
    <cfRule type="containsBlanks" dxfId="901" priority="178">
      <formula>LEN(TRIM(N46))=0</formula>
    </cfRule>
    <cfRule type="notContainsBlanks" dxfId="900" priority="179">
      <formula>LEN(TRIM(N46))&gt;0</formula>
    </cfRule>
    <cfRule type="containsBlanks" dxfId="899" priority="220">
      <formula>LEN(TRIM(N46))=0</formula>
    </cfRule>
    <cfRule type="notContainsBlanks" dxfId="898" priority="221">
      <formula>LEN(TRIM(N46))&gt;0</formula>
    </cfRule>
  </conditionalFormatting>
  <conditionalFormatting sqref="O46:P46">
    <cfRule type="containsBlanks" dxfId="897" priority="224">
      <formula>LEN(TRIM(O46))=0</formula>
    </cfRule>
    <cfRule type="notContainsBlanks" dxfId="896" priority="225">
      <formula>LEN(TRIM(O46))&gt;0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containsBlanks" dxfId="895" priority="145">
      <formula>LEN(TRIM(P7))=0</formula>
    </cfRule>
    <cfRule type="notContainsBlanks" dxfId="894" priority="146">
      <formula>LEN(TRIM(P7))&gt;0</formula>
    </cfRule>
    <cfRule type="containsBlanks" dxfId="893" priority="147">
      <formula>LEN(TRIM(P7))=0</formula>
    </cfRule>
    <cfRule type="notContainsBlanks" dxfId="892" priority="148">
      <formula>LEN(TRIM(P7))&gt;0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891" priority="48">
      <formula>LEN(TRIM(R11))&gt;0</formula>
    </cfRule>
  </conditionalFormatting>
  <conditionalFormatting sqref="R15">
    <cfRule type="containsBlanks" dxfId="890" priority="49">
      <formula>LEN(TRIM(R15))=0</formula>
    </cfRule>
    <cfRule type="notContainsBlanks" dxfId="889" priority="50">
      <formula>LEN(TRIM(R15))&gt;0</formula>
    </cfRule>
  </conditionalFormatting>
  <conditionalFormatting sqref="R59">
    <cfRule type="containsBlanks" dxfId="888" priority="63">
      <formula>LEN(TRIM(R59))=0</formula>
    </cfRule>
    <cfRule type="notContainsBlanks" dxfId="887" priority="64">
      <formula>LEN(TRIM(R59))&gt;0</formula>
    </cfRule>
    <cfRule type="containsBlanks" dxfId="886" priority="65">
      <formula>LEN(TRIM(R59))=0</formula>
    </cfRule>
    <cfRule type="notContainsBlanks" dxfId="885" priority="66">
      <formula>LEN(TRIM(R59))&gt;0</formula>
    </cfRule>
  </conditionalFormatting>
  <conditionalFormatting sqref="R72">
    <cfRule type="containsBlanks" dxfId="884" priority="212">
      <formula>LEN(TRIM(R72))=0</formula>
    </cfRule>
    <cfRule type="notContainsBlanks" dxfId="883" priority="213">
      <formula>LEN(TRIM(R72))&gt;0</formula>
    </cfRule>
  </conditionalFormatting>
  <conditionalFormatting sqref="R63:S63">
    <cfRule type="containsBlanks" dxfId="882" priority="166">
      <formula>LEN(TRIM(R63))=0</formula>
    </cfRule>
    <cfRule type="notContainsBlanks" dxfId="881" priority="167">
      <formula>LEN(TRIM(R63))&gt;0</formula>
    </cfRule>
  </conditionalFormatting>
  <conditionalFormatting sqref="R76:S76">
    <cfRule type="containsBlanks" dxfId="880" priority="182">
      <formula>LEN(TRIM(R76))=0</formula>
    </cfRule>
    <cfRule type="notContainsBlanks" dxfId="879" priority="183">
      <formula>LEN(TRIM(R76))&gt;0</formula>
    </cfRule>
  </conditionalFormatting>
  <conditionalFormatting sqref="R7:T7">
    <cfRule type="containsBlanks" dxfId="878" priority="17">
      <formula>LEN(TRIM(R7))=0</formula>
    </cfRule>
    <cfRule type="notContainsBlanks" dxfId="877" priority="18">
      <formula>LEN(TRIM(R7))&gt;0</formula>
    </cfRule>
    <cfRule type="containsBlanks" dxfId="876" priority="19">
      <formula>LEN(TRIM(R7))=0</formula>
    </cfRule>
    <cfRule type="notContainsBlanks" dxfId="875" priority="20">
      <formula>LEN(TRIM(R7))&gt;0</formula>
    </cfRule>
  </conditionalFormatting>
  <conditionalFormatting sqref="R11:T11">
    <cfRule type="containsBlanks" dxfId="874" priority="41">
      <formula>LEN(TRIM(R11))=0</formula>
    </cfRule>
    <cfRule type="notContainsBlanks" dxfId="873" priority="42">
      <formula>LEN(TRIM(R11))&gt;0</formula>
    </cfRule>
  </conditionalFormatting>
  <conditionalFormatting sqref="R63:T63">
    <cfRule type="containsBlanks" dxfId="872" priority="168">
      <formula>LEN(TRIM(R63))=0</formula>
    </cfRule>
    <cfRule type="notContainsBlanks" dxfId="871" priority="169">
      <formula>LEN(TRIM(R63))&gt;0</formula>
    </cfRule>
    <cfRule type="containsBlanks" dxfId="870" priority="174">
      <formula>LEN(TRIM(R63))=0</formula>
    </cfRule>
    <cfRule type="notContainsBlanks" dxfId="869" priority="175">
      <formula>LEN(TRIM(R63))&gt;0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868" priority="21">
      <formula>LEN(TRIM(R7))=0</formula>
    </cfRule>
    <cfRule type="notContainsBlanks" dxfId="867" priority="22">
      <formula>LEN(TRIM(R7))&gt;0</formula>
    </cfRule>
  </conditionalFormatting>
  <conditionalFormatting sqref="R25:X25">
    <cfRule type="containsBlanks" dxfId="866" priority="33">
      <formula>LEN(TRIM(R25))=0</formula>
    </cfRule>
    <cfRule type="notContainsBlanks" dxfId="865" priority="34">
      <formula>LEN(TRIM(R25))&gt;0</formula>
    </cfRule>
  </conditionalFormatting>
  <conditionalFormatting sqref="R29:V29">
    <cfRule type="containsBlanks" dxfId="864" priority="133">
      <formula>LEN(TRIM(R29))=0</formula>
    </cfRule>
    <cfRule type="notContainsBlanks" dxfId="863" priority="134">
      <formula>LEN(TRIM(R29))&gt;0</formula>
    </cfRule>
  </conditionalFormatting>
  <conditionalFormatting sqref="R59:X59">
    <cfRule type="containsBlanks" dxfId="862" priority="67">
      <formula>LEN(TRIM(R59))=0</formula>
    </cfRule>
    <cfRule type="notContainsBlanks" dxfId="861" priority="68">
      <formula>LEN(TRIM(R59))&gt;0</formula>
    </cfRule>
  </conditionalFormatting>
  <conditionalFormatting sqref="R72:X72">
    <cfRule type="containsBlanks" dxfId="860" priority="13">
      <formula>LEN(TRIM(R72))=0</formula>
    </cfRule>
    <cfRule type="notContainsBlanks" dxfId="859" priority="14">
      <formula>LEN(TRIM(R72))&gt;0</formula>
    </cfRule>
  </conditionalFormatting>
  <conditionalFormatting sqref="R76:X76">
    <cfRule type="containsBlanks" dxfId="858" priority="184">
      <formula>LEN(TRIM(R76))=0</formula>
    </cfRule>
    <cfRule type="notContainsBlanks" dxfId="857" priority="185">
      <formula>LEN(TRIM(R76))&gt;0</formula>
    </cfRule>
  </conditionalFormatting>
  <conditionalFormatting sqref="S15:W15">
    <cfRule type="containsBlanks" dxfId="856" priority="205">
      <formula>LEN(TRIM(S15))=0</formula>
    </cfRule>
    <cfRule type="notContainsBlanks" dxfId="855" priority="206">
      <formula>LEN(TRIM(S15))&gt;0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854" priority="164">
      <formula>LEN(TRIM(S59))=0</formula>
    </cfRule>
    <cfRule type="notContainsBlanks" dxfId="853" priority="165">
      <formula>LEN(TRIM(S59))&gt;0</formula>
    </cfRule>
  </conditionalFormatting>
  <conditionalFormatting sqref="U11:X11 R11">
    <cfRule type="containsBlanks" dxfId="852" priority="47">
      <formula>LEN(TRIM(R11))=0</formula>
    </cfRule>
  </conditionalFormatting>
  <conditionalFormatting sqref="U63:X63">
    <cfRule type="containsBlanks" dxfId="851" priority="79">
      <formula>LEN(TRIM(U63))=0</formula>
    </cfRule>
    <cfRule type="notContainsBlanks" dxfId="850" priority="80">
      <formula>LEN(TRIM(U63))&gt;0</formula>
    </cfRule>
    <cfRule type="containsBlanks" dxfId="849" priority="81">
      <formula>LEN(TRIM(U63))=0</formula>
    </cfRule>
    <cfRule type="notContainsBlanks" dxfId="848" priority="82">
      <formula>LEN(TRIM(U63))&gt;0</formula>
    </cfRule>
    <cfRule type="containsBlanks" dxfId="847" priority="83">
      <formula>LEN(TRIM(U63))=0</formula>
    </cfRule>
    <cfRule type="notContainsBlanks" dxfId="846" priority="84">
      <formula>LEN(TRIM(U63))&gt;0</formula>
    </cfRule>
  </conditionalFormatting>
  <conditionalFormatting sqref="V11:W11">
    <cfRule type="containsBlanks" dxfId="845" priority="43">
      <formula>LEN(TRIM(V11))=0</formula>
    </cfRule>
    <cfRule type="notContainsBlanks" dxfId="844" priority="44">
      <formula>LEN(TRIM(V11))&gt;0</formula>
    </cfRule>
  </conditionalFormatting>
  <conditionalFormatting sqref="W15:X15">
    <cfRule type="containsBlanks" dxfId="843" priority="195">
      <formula>LEN(TRIM(W15))=0</formula>
    </cfRule>
    <cfRule type="notContainsBlanks" dxfId="842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containsBlanks" dxfId="841" priority="207">
      <formula>LEN(TRIM(W33))=0</formula>
    </cfRule>
    <cfRule type="notContainsBlanks" dxfId="840" priority="208">
      <formula>LEN(TRIM(W33))&gt;0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839" priority="276">
      <formula>LEN(TRIM(X21))=0</formula>
    </cfRule>
    <cfRule type="notContainsBlanks" dxfId="838" priority="277">
      <formula>LEN(TRIM(X21))&gt;0</formula>
    </cfRule>
    <cfRule type="containsBlanks" dxfId="837" priority="278">
      <formula>LEN(TRIM(X21))=0</formula>
    </cfRule>
    <cfRule type="notContainsBlanks" dxfId="836" priority="279">
      <formula>LEN(TRIM(X21))&gt;0</formula>
    </cfRule>
    <cfRule type="containsBlanks" dxfId="835" priority="280">
      <formula>LEN(TRIM(X21))=0</formula>
    </cfRule>
    <cfRule type="notContainsBlanks" dxfId="834" priority="281">
      <formula>LEN(TRIM(X21))&gt;0</formula>
    </cfRule>
    <cfRule type="containsBlanks" dxfId="833" priority="282">
      <formula>LEN(TRIM(X21))=0</formula>
    </cfRule>
    <cfRule type="notContainsBlanks" dxfId="832" priority="283">
      <formula>LEN(TRIM(X21))&gt;0</formula>
    </cfRule>
    <cfRule type="containsBlanks" dxfId="831" priority="284">
      <formula>LEN(TRIM(X21))=0</formula>
    </cfRule>
    <cfRule type="notContainsBlanks" dxfId="830" priority="285">
      <formula>LEN(TRIM(X21))&gt;0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829" priority="59">
      <formula>LEN(TRIM(Z59))=0</formula>
    </cfRule>
    <cfRule type="notContainsBlanks" dxfId="828" priority="60">
      <formula>LEN(TRIM(Z59))&gt;0</formula>
    </cfRule>
  </conditionalFormatting>
  <conditionalFormatting sqref="Z72">
    <cfRule type="containsBlanks" dxfId="827" priority="129">
      <formula>LEN(TRIM(Z72))=0</formula>
    </cfRule>
    <cfRule type="notContainsBlanks" dxfId="826" priority="130">
      <formula>LEN(TRIM(Z72))&gt;0</formula>
    </cfRule>
  </conditionalFormatting>
  <conditionalFormatting sqref="Z76">
    <cfRule type="containsBlanks" dxfId="825" priority="210">
      <formula>LEN(TRIM(Z76))=0</formula>
    </cfRule>
    <cfRule type="notContainsBlanks" dxfId="824" priority="211">
      <formula>LEN(TRIM(Z76))&gt;0</formula>
    </cfRule>
  </conditionalFormatting>
  <conditionalFormatting sqref="Z63:AA63">
    <cfRule type="containsBlanks" dxfId="823" priority="170">
      <formula>LEN(TRIM(Z63))=0</formula>
    </cfRule>
    <cfRule type="notContainsBlanks" dxfId="822" priority="171">
      <formula>LEN(TRIM(Z63))&gt;0</formula>
    </cfRule>
  </conditionalFormatting>
  <conditionalFormatting sqref="Z59:AB59">
    <cfRule type="containsBlanks" dxfId="821" priority="61">
      <formula>LEN(TRIM(Z59))=0</formula>
    </cfRule>
    <cfRule type="notContainsBlanks" dxfId="820" priority="62">
      <formula>LEN(TRIM(Z59))&gt;0</formula>
    </cfRule>
  </conditionalFormatting>
  <conditionalFormatting sqref="Z63:AB63">
    <cfRule type="containsBlanks" dxfId="819" priority="172">
      <formula>LEN(TRIM(Z63))=0</formula>
    </cfRule>
    <cfRule type="notContainsBlanks" dxfId="818" priority="173">
      <formula>LEN(TRIM(Z63))&gt;0</formula>
    </cfRule>
    <cfRule type="containsBlanks" dxfId="817" priority="180">
      <formula>LEN(TRIM(Z63))=0</formula>
    </cfRule>
    <cfRule type="notContainsBlanks" dxfId="816" priority="181">
      <formula>LEN(TRIM(Z63))&gt;0</formula>
    </cfRule>
  </conditionalFormatting>
  <conditionalFormatting sqref="Z25:AI25">
    <cfRule type="containsBlanks" dxfId="815" priority="115">
      <formula>LEN(TRIM(Z25))=0</formula>
    </cfRule>
    <cfRule type="notContainsBlanks" dxfId="814" priority="116">
      <formula>LEN(TRIM(Z25))&gt;0</formula>
    </cfRule>
  </conditionalFormatting>
  <conditionalFormatting sqref="AA29:AI29">
    <cfRule type="containsBlanks" dxfId="813" priority="27">
      <formula>LEN(TRIM(AA29))=0</formula>
    </cfRule>
    <cfRule type="notContainsBlanks" dxfId="812" priority="28">
      <formula>LEN(TRIM(AA29))&gt;0</formula>
    </cfRule>
  </conditionalFormatting>
  <conditionalFormatting sqref="AA59:AB59">
    <cfRule type="containsBlanks" dxfId="811" priority="141">
      <formula>LEN(TRIM(AA59))=0</formula>
    </cfRule>
    <cfRule type="notContainsBlanks" dxfId="810" priority="142">
      <formula>LEN(TRIM(AA59))&gt;0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809" priority="268">
      <formula>LEN(TRIM(AF21))=0</formula>
    </cfRule>
    <cfRule type="notContainsBlanks" dxfId="808" priority="269">
      <formula>LEN(TRIM(AF21))&gt;0</formula>
    </cfRule>
    <cfRule type="containsBlanks" dxfId="807" priority="270">
      <formula>LEN(TRIM(AF21))=0</formula>
    </cfRule>
    <cfRule type="notContainsBlanks" dxfId="806" priority="271">
      <formula>LEN(TRIM(AF21))&gt;0</formula>
    </cfRule>
    <cfRule type="containsBlanks" dxfId="805" priority="272">
      <formula>LEN(TRIM(AF21))=0</formula>
    </cfRule>
    <cfRule type="notContainsBlanks" dxfId="804" priority="273">
      <formula>LEN(TRIM(AF21))&gt;0</formula>
    </cfRule>
    <cfRule type="containsBlanks" dxfId="803" priority="274">
      <formula>LEN(TRIM(AF21))=0</formula>
    </cfRule>
    <cfRule type="notContainsBlanks" dxfId="802" priority="275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801" priority="111">
      <formula>LEN(TRIM(AF21))=0</formula>
    </cfRule>
    <cfRule type="notContainsBlanks" dxfId="800" priority="112">
      <formula>LEN(TRIM(AF21))&gt;0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799" priority="286">
      <formula>LEN(TRIM(AG33))=0</formula>
    </cfRule>
    <cfRule type="notContainsBlanks" dxfId="798" priority="287">
      <formula>LEN(TRIM(AG33))&gt;0</formula>
    </cfRule>
    <cfRule type="containsBlanks" dxfId="797" priority="288">
      <formula>LEN(TRIM(AG33))=0</formula>
    </cfRule>
    <cfRule type="notContainsBlanks" dxfId="796" priority="289">
      <formula>LEN(TRIM(AG33))&gt;0</formula>
    </cfRule>
    <cfRule type="containsBlanks" dxfId="795" priority="290">
      <formula>LEN(TRIM(AG33))=0</formula>
    </cfRule>
    <cfRule type="notContainsBlanks" dxfId="794" priority="291">
      <formula>LEN(TRIM(AG33))&gt;0</formula>
    </cfRule>
    <cfRule type="containsBlanks" dxfId="793" priority="292">
      <formula>LEN(TRIM(AG33))=0</formula>
    </cfRule>
    <cfRule type="notContainsBlanks" dxfId="792" priority="293">
      <formula>LEN(TRIM(AG33))&gt;0</formula>
    </cfRule>
    <cfRule type="containsBlanks" dxfId="791" priority="294">
      <formula>LEN(TRIM(AG33))=0</formula>
    </cfRule>
    <cfRule type="notContainsBlanks" dxfId="790" priority="295">
      <formula>LEN(TRIM(AG33))&gt;0</formula>
    </cfRule>
    <cfRule type="containsBlanks" dxfId="789" priority="296">
      <formula>LEN(TRIM(AG33))=0</formula>
    </cfRule>
    <cfRule type="notContainsBlanks" dxfId="788" priority="297">
      <formula>LEN(TRIM(AG33))&gt;0</formula>
    </cfRule>
  </conditionalFormatting>
  <conditionalFormatting sqref="N72:P72">
    <cfRule type="containsBlanks" dxfId="787" priority="11">
      <formula>LEN(TRIM(N72))=0</formula>
    </cfRule>
    <cfRule type="notContainsBlanks" dxfId="786" priority="12">
      <formula>LEN(TRIM(N72))&gt;0</formula>
    </cfRule>
  </conditionalFormatting>
  <conditionalFormatting sqref="F72:H72">
    <cfRule type="containsBlanks" dxfId="785" priority="9">
      <formula>LEN(TRIM(F72))=0</formula>
    </cfRule>
    <cfRule type="notContainsBlanks" dxfId="784" priority="10">
      <formula>LEN(TRIM(F72))&gt;0</formula>
    </cfRule>
  </conditionalFormatting>
  <conditionalFormatting sqref="F72:H72">
    <cfRule type="containsBlanks" dxfId="783" priority="7">
      <formula>LEN(TRIM(F72))=0</formula>
    </cfRule>
    <cfRule type="notContainsBlanks" dxfId="782" priority="8">
      <formula>LEN(TRIM(F72))&gt;0</formula>
    </cfRule>
  </conditionalFormatting>
  <conditionalFormatting sqref="N25:P25">
    <cfRule type="containsBlanks" dxfId="781" priority="5">
      <formula>LEN(TRIM(N25))=0</formula>
    </cfRule>
    <cfRule type="notContainsBlanks" dxfId="780" priority="6">
      <formula>LEN(TRIM(N25))&gt;0</formula>
    </cfRule>
  </conditionalFormatting>
  <conditionalFormatting sqref="W29:X29">
    <cfRule type="containsBlanks" dxfId="23" priority="3">
      <formula>LEN(TRIM(W29))=0</formula>
    </cfRule>
    <cfRule type="notContainsBlanks" dxfId="22" priority="4">
      <formula>LEN(TRIM(W29))&gt;0</formula>
    </cfRule>
  </conditionalFormatting>
  <conditionalFormatting sqref="Z29">
    <cfRule type="containsBlanks" dxfId="21" priority="1">
      <formula>LEN(TRIM(Z29))=0</formula>
    </cfRule>
    <cfRule type="notContainsBlanks" dxfId="20" priority="2">
      <formula>LEN(TRIM(Z29))&gt;0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sheetPr filterMode="1"/>
  <dimension ref="A1:CY234"/>
  <sheetViews>
    <sheetView zoomScale="75" zoomScaleNormal="92" workbookViewId="0">
      <pane xSplit="2" ySplit="13" topLeftCell="C76" activePane="bottomRight" state="frozen"/>
      <selection pane="topRight" activeCell="C1" sqref="C1"/>
      <selection pane="bottomLeft" activeCell="A14" sqref="A14"/>
      <selection pane="bottomRight" activeCell="M244" sqref="M244"/>
    </sheetView>
  </sheetViews>
  <sheetFormatPr defaultRowHeight="15" x14ac:dyDescent="0.25"/>
  <cols>
    <col min="1" max="1" width="13.85546875" customWidth="1"/>
    <col min="5" max="5" width="19.7109375" hidden="1" customWidth="1"/>
    <col min="6" max="6" width="9.42578125" hidden="1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86">
        <v>45695</v>
      </c>
      <c r="B1" s="86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AN3" s="4"/>
      <c r="AO3" s="4"/>
      <c r="AP3" s="4"/>
      <c r="AQ3" s="4"/>
      <c r="AR3" s="4"/>
      <c r="AS3" s="4"/>
      <c r="AT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87" t="s">
        <v>3</v>
      </c>
      <c r="C8" s="88"/>
      <c r="D8" s="88"/>
      <c r="E8" s="88"/>
      <c r="F8" s="88"/>
      <c r="G8" s="88"/>
      <c r="H8" s="88"/>
      <c r="I8" s="88"/>
      <c r="J8" s="15">
        <f>SUM(J14:J1972)</f>
        <v>0</v>
      </c>
      <c r="K8" s="15">
        <f>SUM(K14:K1972)</f>
        <v>0</v>
      </c>
      <c r="L8" s="15">
        <f>SUM(L14:L1972)</f>
        <v>0</v>
      </c>
      <c r="M8" s="15">
        <f>SUM(M14:M1972)</f>
        <v>0</v>
      </c>
      <c r="N8" s="15">
        <f>SUM(N14:N1972)</f>
        <v>0</v>
      </c>
      <c r="O8" s="15">
        <f>SUM(O14:O1972)</f>
        <v>0</v>
      </c>
      <c r="P8" s="15">
        <f>SUM(P14:P1972)</f>
        <v>0</v>
      </c>
      <c r="Q8" s="15">
        <f>SUM(Q14:Q1972)</f>
        <v>0</v>
      </c>
      <c r="R8" s="15">
        <f>SUM(R14:R1972)</f>
        <v>0</v>
      </c>
      <c r="S8" s="15">
        <f>SUM(S14:S1972)</f>
        <v>0</v>
      </c>
      <c r="T8" s="15">
        <f>SUM(T14:T1972)</f>
        <v>0</v>
      </c>
      <c r="U8" s="15">
        <f>SUM(U14:U1972)</f>
        <v>0</v>
      </c>
      <c r="V8" s="15">
        <f>SUM(V14:V1972)</f>
        <v>0</v>
      </c>
      <c r="W8" s="15">
        <f>SUM(W14:W1972)</f>
        <v>0</v>
      </c>
      <c r="X8" s="15">
        <f>SUM(X14:X1972)</f>
        <v>0</v>
      </c>
      <c r="Y8" s="15">
        <f>SUM(Y14:Y1972)</f>
        <v>0</v>
      </c>
      <c r="Z8" s="15">
        <f>SUM(Z14:Z1972)</f>
        <v>0</v>
      </c>
      <c r="AA8" s="15">
        <f>SUM(AA14:AA1972)</f>
        <v>0</v>
      </c>
      <c r="AB8" s="15">
        <f>SUM(AB14:AB1972)</f>
        <v>0</v>
      </c>
      <c r="AC8" s="15">
        <f>SUM(AC14:AC1972)</f>
        <v>0</v>
      </c>
      <c r="AD8" s="15">
        <f>SUM(AD14:AD1972)</f>
        <v>0</v>
      </c>
      <c r="AE8" s="15">
        <f>SUM(AE14:AE1972)</f>
        <v>0</v>
      </c>
      <c r="AF8" s="15">
        <f>SUM(AF14:AF1972)</f>
        <v>0</v>
      </c>
      <c r="AG8" s="15">
        <f>SUM(AG14:AG1972)</f>
        <v>119</v>
      </c>
      <c r="AH8" s="15">
        <f>SUM(AH14:AH1972)</f>
        <v>119</v>
      </c>
      <c r="AI8" s="15">
        <f>SUM(AI14:AI1972)</f>
        <v>119</v>
      </c>
      <c r="AJ8" s="15">
        <f>SUM(AJ14:AJ1972)</f>
        <v>119</v>
      </c>
      <c r="AK8" s="15">
        <f>SUM(AK14:AK1972)</f>
        <v>119</v>
      </c>
      <c r="AL8" s="15">
        <f>SUM(AL14:AL1972)</f>
        <v>119</v>
      </c>
      <c r="AM8" s="15">
        <f>SUM(AM14:AM1972)</f>
        <v>119</v>
      </c>
      <c r="AN8" s="15">
        <f>SUM(AN14:AN1972)</f>
        <v>119</v>
      </c>
      <c r="AO8" s="15">
        <f>SUM(AO14:AO1972)</f>
        <v>119</v>
      </c>
      <c r="AP8" s="15">
        <f>SUM(AP14:AP1972)</f>
        <v>119</v>
      </c>
      <c r="AQ8" s="15">
        <f>SUM(AQ14:AQ1972)</f>
        <v>119</v>
      </c>
      <c r="AR8" s="15">
        <f>SUM(AR14:AR1972)</f>
        <v>119</v>
      </c>
      <c r="AS8" s="15">
        <f>SUM(AS14:AS1972)</f>
        <v>119</v>
      </c>
      <c r="AT8" s="15">
        <f>SUM(AT14:AT1972)</f>
        <v>119</v>
      </c>
      <c r="AU8" s="15">
        <f>SUM(AU14:AU1972)</f>
        <v>136</v>
      </c>
      <c r="AV8" s="15">
        <f>SUM(AV14:AV1972)</f>
        <v>119</v>
      </c>
      <c r="AW8" s="15">
        <f>SUM(AW14:AW1972)</f>
        <v>119</v>
      </c>
      <c r="AX8" s="15">
        <f>SUM(AX14:AX1972)</f>
        <v>153</v>
      </c>
      <c r="AY8" s="15">
        <f>SUM(AY14:AY1972)</f>
        <v>119</v>
      </c>
      <c r="AZ8" s="15">
        <f>SUM(AZ14:AZ1972)</f>
        <v>119</v>
      </c>
      <c r="BA8" s="15">
        <f>SUM(BA14:BA1972)</f>
        <v>119</v>
      </c>
      <c r="BB8" s="15">
        <f>SUM(BB14:BB1972)</f>
        <v>119</v>
      </c>
      <c r="BC8" s="15">
        <f>SUM(BC14:BC1972)</f>
        <v>119</v>
      </c>
      <c r="BD8" s="15">
        <f>SUM(BD14:BD1972)</f>
        <v>119</v>
      </c>
      <c r="BE8" s="15">
        <f>SUM(BE14:BE1972)</f>
        <v>119</v>
      </c>
      <c r="BF8" s="15">
        <f>SUM(BF14:BF1972)</f>
        <v>136</v>
      </c>
      <c r="BG8" s="15">
        <f>SUM(BG14:BG1972)</f>
        <v>119</v>
      </c>
      <c r="BH8" s="15">
        <f>SUM(BH14:BH1972)</f>
        <v>119</v>
      </c>
      <c r="BI8" s="15">
        <f>SUM(BI14:BI1972)</f>
        <v>119</v>
      </c>
      <c r="BJ8" s="15">
        <f>SUM(BJ14:BJ1972)</f>
        <v>119</v>
      </c>
      <c r="BK8" s="15">
        <f>SUM(BK14:BK1972)</f>
        <v>119</v>
      </c>
      <c r="BL8" s="15">
        <f>SUM(BL14:BL1972)</f>
        <v>0</v>
      </c>
      <c r="BM8" s="15">
        <f>SUM(BM14:BM1972)</f>
        <v>153</v>
      </c>
      <c r="BN8" s="15">
        <f>SUM(BN14:BN1972)</f>
        <v>0</v>
      </c>
      <c r="BO8" s="15">
        <f>SUM(BO14:BO1972)</f>
        <v>0</v>
      </c>
      <c r="BP8" s="15">
        <f>SUM(BP14:BP1972)</f>
        <v>0</v>
      </c>
      <c r="BQ8" s="15">
        <f>SUM(BQ14:BQ1972)</f>
        <v>0</v>
      </c>
      <c r="BR8" s="15">
        <f>SUM(BR14:BR1972)</f>
        <v>0</v>
      </c>
      <c r="BS8" s="15">
        <f>SUM(BS14:BS1972)</f>
        <v>0</v>
      </c>
    </row>
    <row r="9" spans="1:103" s="18" customFormat="1" ht="16.5" customHeight="1" x14ac:dyDescent="0.25">
      <c r="A9" s="12"/>
      <c r="B9" s="89" t="s">
        <v>4</v>
      </c>
      <c r="C9" s="90"/>
      <c r="D9" s="90"/>
      <c r="E9" s="90"/>
      <c r="F9" s="90"/>
      <c r="G9" s="90"/>
      <c r="H9" s="90"/>
      <c r="I9" s="90"/>
      <c r="J9" s="17">
        <f>COUNTIF(J14:J1972,"T")</f>
        <v>7</v>
      </c>
      <c r="K9" s="17">
        <f>COUNTIF(K14:K1972,"T")</f>
        <v>7</v>
      </c>
      <c r="L9" s="17">
        <f>COUNTIF(L14:L1972,"T")</f>
        <v>7</v>
      </c>
      <c r="M9" s="17">
        <f>COUNTIF(M14:M1972,"T")</f>
        <v>7</v>
      </c>
      <c r="N9" s="17">
        <f>COUNTIF(N14:N1972,"T")</f>
        <v>7</v>
      </c>
      <c r="O9" s="17">
        <f>COUNTIF(O14:O1972,"T")</f>
        <v>7</v>
      </c>
      <c r="P9" s="17">
        <f>COUNTIF(P14:P1972,"T")</f>
        <v>7</v>
      </c>
      <c r="Q9" s="17">
        <f>COUNTIF(Q14:Q1972,"T")</f>
        <v>7</v>
      </c>
      <c r="R9" s="17">
        <f>COUNTIF(R14:R1972,"T")</f>
        <v>7</v>
      </c>
      <c r="S9" s="17">
        <f>COUNTIF(S14:S1972,"T")</f>
        <v>7</v>
      </c>
      <c r="T9" s="17">
        <f>COUNTIF(T14:T1972,"T")</f>
        <v>7</v>
      </c>
      <c r="U9" s="17">
        <f>COUNTIF(U14:U1972,"T")</f>
        <v>7</v>
      </c>
      <c r="V9" s="17">
        <f>COUNTIF(V14:V1972,"T")</f>
        <v>7</v>
      </c>
      <c r="W9" s="17">
        <f>COUNTIF(W14:W1972,"T")</f>
        <v>7</v>
      </c>
      <c r="X9" s="17">
        <f>COUNTIF(X14:X1972,"T")</f>
        <v>8</v>
      </c>
      <c r="Y9" s="17">
        <f>COUNTIF(Y14:Y1972,"T")</f>
        <v>7</v>
      </c>
      <c r="Z9" s="17">
        <f>COUNTIF(Z14:Z1972,"T")</f>
        <v>7</v>
      </c>
      <c r="AA9" s="17">
        <f>COUNTIF(AA14:AA1972,"T")</f>
        <v>9</v>
      </c>
      <c r="AB9" s="17">
        <f>COUNTIF(AB14:AB1972,"T")</f>
        <v>7</v>
      </c>
      <c r="AC9" s="17">
        <f>COUNTIF(AC14:AC1972,"T")</f>
        <v>7</v>
      </c>
      <c r="AD9" s="17">
        <f>COUNTIF(AD14:AD1972,"T")</f>
        <v>7</v>
      </c>
      <c r="AE9" s="17">
        <f>COUNTIF(AE14:AE1972,"T")</f>
        <v>7</v>
      </c>
      <c r="AF9" s="17">
        <f>COUNTIF(AF14:AF1972,"T")</f>
        <v>7</v>
      </c>
      <c r="AG9" s="17">
        <f>COUNTIF(AG14:AG1972,"T")</f>
        <v>7</v>
      </c>
      <c r="AH9" s="17">
        <f>COUNTIF(AH14:AH1972,"T")</f>
        <v>7</v>
      </c>
      <c r="AI9" s="17">
        <f>COUNTIF(AI14:AI1972,"T")</f>
        <v>8</v>
      </c>
      <c r="AJ9" s="17">
        <f>COUNTIF(AJ14:AJ1972,"T")</f>
        <v>7</v>
      </c>
      <c r="AK9" s="17">
        <f>COUNTIF(AK14:AK1972,"T")</f>
        <v>7</v>
      </c>
      <c r="AL9" s="17">
        <f>COUNTIF(AL14:AL1972,"T")</f>
        <v>7</v>
      </c>
      <c r="AM9" s="17">
        <f>COUNTIF(AM14:AM1972,"T")</f>
        <v>7</v>
      </c>
      <c r="AN9" s="17">
        <f>COUNTIF(AN14:AN1972,"T")</f>
        <v>7</v>
      </c>
      <c r="AO9" s="17">
        <f>COUNTIF(AO14:AO1972,"T")</f>
        <v>0</v>
      </c>
      <c r="AP9" s="17">
        <f>COUNTIF(AP14:AP1972,"T")</f>
        <v>9</v>
      </c>
      <c r="AQ9" s="17">
        <f>COUNTIF(AQ14:AQ1972,"T")</f>
        <v>0</v>
      </c>
      <c r="AR9" s="17">
        <f>COUNTIF(AR14:AR1972,"T")</f>
        <v>0</v>
      </c>
      <c r="AS9" s="17">
        <f>COUNTIF(AS14:AS1972,"T")</f>
        <v>0</v>
      </c>
      <c r="AT9" s="17">
        <f>COUNTIF(AT14:AT1972,"T")</f>
        <v>0</v>
      </c>
      <c r="AU9" s="17">
        <f>COUNTIF(AU14:AU1972,"T")</f>
        <v>0</v>
      </c>
      <c r="AV9" s="17">
        <f>COUNTIF(AV14:AV1972,"T")</f>
        <v>0</v>
      </c>
      <c r="AW9" s="17">
        <f>COUNTIF(AW14:AW1972,"T")</f>
        <v>0</v>
      </c>
      <c r="AX9" s="17">
        <f>COUNTIF(AX14:AX1972,"T")</f>
        <v>0</v>
      </c>
      <c r="AY9" s="17">
        <f>COUNTIF(AY14:AY1972,"T")</f>
        <v>0</v>
      </c>
      <c r="AZ9" s="17">
        <f>COUNTIF(AZ14:AZ1972,"T")</f>
        <v>0</v>
      </c>
      <c r="BA9" s="17">
        <f>COUNTIF(BA14:BA1972,"T")</f>
        <v>0</v>
      </c>
      <c r="BB9" s="17">
        <f>COUNTIF(BB14:BB1972,"T")</f>
        <v>0</v>
      </c>
      <c r="BC9" s="17">
        <f>COUNTIF(BC14:BC1972,"T")</f>
        <v>0</v>
      </c>
      <c r="BD9" s="17">
        <f>COUNTIF(BD14:BD1972,"T")</f>
        <v>0</v>
      </c>
      <c r="BE9" s="17">
        <f>COUNTIF(BE14:BE1972,"T")</f>
        <v>0</v>
      </c>
      <c r="BF9" s="17">
        <f>COUNTIF(BF14:BF1972,"T")</f>
        <v>0</v>
      </c>
      <c r="BG9" s="17">
        <f>COUNTIF(BG14:BG1972,"T")</f>
        <v>0</v>
      </c>
      <c r="BH9" s="17">
        <f>COUNTIF(BH14:BH1972,"T")</f>
        <v>0</v>
      </c>
      <c r="BI9" s="17">
        <f>COUNTIF(BI14:BI1972,"T")</f>
        <v>0</v>
      </c>
      <c r="BJ9" s="17">
        <f>COUNTIF(BJ14:BJ1972,"T")</f>
        <v>0</v>
      </c>
      <c r="BK9" s="17">
        <f>COUNTIF(BK14:BK1972,"T")</f>
        <v>0</v>
      </c>
      <c r="BL9" s="17">
        <f>COUNTIF(BL14:BL1972,"T")</f>
        <v>0</v>
      </c>
      <c r="BM9" s="17">
        <f>COUNTIF(BM14:BM1972,"T")</f>
        <v>0</v>
      </c>
      <c r="BN9" s="17">
        <f>COUNTIF(BN14:BN1972,"T")</f>
        <v>0</v>
      </c>
      <c r="BO9" s="17">
        <f>COUNTIF(BO14:BO1972,"T")</f>
        <v>0</v>
      </c>
      <c r="BP9" s="17">
        <f>COUNTIF(BP14:BP1972,"T")</f>
        <v>0</v>
      </c>
      <c r="BQ9" s="17">
        <f>COUNTIF(BQ14:BQ1972,"T")</f>
        <v>0</v>
      </c>
      <c r="BR9" s="17">
        <f>COUNTIF(BR14:BR1972,"T")</f>
        <v>0</v>
      </c>
      <c r="BS9" s="17">
        <f>COUNTIF(BS14:BS1972,"T")</f>
        <v>0</v>
      </c>
    </row>
    <row r="10" spans="1:103" s="20" customFormat="1" ht="16.5" customHeight="1" x14ac:dyDescent="0.25">
      <c r="A10" s="12"/>
      <c r="B10" s="91" t="s">
        <v>5</v>
      </c>
      <c r="C10" s="92"/>
      <c r="D10" s="92"/>
      <c r="E10" s="92"/>
      <c r="F10" s="92"/>
      <c r="G10" s="92"/>
      <c r="H10" s="92"/>
      <c r="I10" s="92"/>
      <c r="J10" s="19">
        <f>COUNTIF(J14:J1972,"P1")+COUNTIF(J14:J1972,"P2")+COUNTIF(J14:J1972,"P3")</f>
        <v>0</v>
      </c>
      <c r="K10" s="19">
        <f>COUNTIF(K14:K1972,"P1")+COUNTIF(K14:K1972,"P2")+COUNTIF(K14:K1972,"P3")</f>
        <v>0</v>
      </c>
      <c r="L10" s="19">
        <f>COUNTIF(L14:L1972,"P1")+COUNTIF(L14:L1972,"P2")+COUNTIF(L14:L1972,"P3")</f>
        <v>0</v>
      </c>
      <c r="M10" s="19">
        <f>COUNTIF(M14:M1972,"P1")+COUNTIF(M14:M1972,"P2")+COUNTIF(M14:M1972,"P3")</f>
        <v>0</v>
      </c>
      <c r="N10" s="19">
        <f>COUNTIF(N14:N1972,"P1")+COUNTIF(N14:N1972,"P2")+COUNTIF(N14:N1972,"P3")</f>
        <v>0</v>
      </c>
      <c r="O10" s="19">
        <f>COUNTIF(O14:O1972,"P1")+COUNTIF(O14:O1972,"P2")+COUNTIF(O14:O1972,"P3")</f>
        <v>0</v>
      </c>
      <c r="P10" s="19">
        <f>COUNTIF(P14:P1972,"P1")+COUNTIF(P14:P1972,"P2")+COUNTIF(P14:P1972,"P3")</f>
        <v>0</v>
      </c>
      <c r="Q10" s="19">
        <f>COUNTIF(Q14:Q1972,"P1")+COUNTIF(Q14:Q1972,"P2")+COUNTIF(Q14:Q1972,"P3")</f>
        <v>7</v>
      </c>
      <c r="R10" s="19">
        <f>COUNTIF(R14:R1972,"P1")+COUNTIF(R14:R1972,"P2")+COUNTIF(R14:R1972,"P3")</f>
        <v>7</v>
      </c>
      <c r="S10" s="19">
        <f>COUNTIF(S14:S1972,"P1")+COUNTIF(S14:S1972,"P2")+COUNTIF(S14:S1972,"P3")</f>
        <v>7</v>
      </c>
      <c r="T10" s="19">
        <f>COUNTIF(T14:T1972,"P1")+COUNTIF(T14:T1972,"P2")+COUNTIF(T14:T1972,"P3")</f>
        <v>7</v>
      </c>
      <c r="U10" s="19">
        <f>COUNTIF(U14:U1972,"P1")+COUNTIF(U14:U1972,"P2")+COUNTIF(U14:U1972,"P3")</f>
        <v>7</v>
      </c>
      <c r="V10" s="19">
        <f>COUNTIF(V14:V1972,"P1")+COUNTIF(V14:V1972,"P2")+COUNTIF(V14:V1972,"P3")</f>
        <v>7</v>
      </c>
      <c r="W10" s="19">
        <f>COUNTIF(W14:W1972,"P1")+COUNTIF(W14:W1972,"P2")+COUNTIF(W14:W1972,"P3")</f>
        <v>7</v>
      </c>
      <c r="X10" s="19">
        <f>COUNTIF(X14:X1972,"P1")+COUNTIF(X14:X1972,"P2")+COUNTIF(X14:X1972,"P3")</f>
        <v>14</v>
      </c>
      <c r="Y10" s="19">
        <f>COUNTIF(Y14:Y1972,"P1")+COUNTIF(Y14:Y1972,"P2")+COUNTIF(Y14:Y1972,"P3")</f>
        <v>14</v>
      </c>
      <c r="Z10" s="19">
        <f>COUNTIF(Z14:Z1972,"P1")+COUNTIF(Z14:Z1972,"P2")+COUNTIF(Z14:Z1972,"P3")</f>
        <v>14</v>
      </c>
      <c r="AA10" s="19">
        <f>COUNTIF(AA14:AA1972,"P1")+COUNTIF(AA14:AA1972,"P2")+COUNTIF(AA14:AA1972,"P3")</f>
        <v>14</v>
      </c>
      <c r="AB10" s="19">
        <f>COUNTIF(AB14:AB1972,"P1")+COUNTIF(AB14:AB1972,"P2")+COUNTIF(AB14:AB1972,"P3")</f>
        <v>14</v>
      </c>
      <c r="AC10" s="19">
        <f>COUNTIF(AC14:AC1972,"P1")+COUNTIF(AC14:AC1972,"P2")+COUNTIF(AC14:AC1972,"P3")</f>
        <v>14</v>
      </c>
      <c r="AD10" s="19">
        <f>COUNTIF(AD14:AD1972,"P1")+COUNTIF(AD14:AD1972,"P2")+COUNTIF(AD14:AD1972,"P3")</f>
        <v>21</v>
      </c>
      <c r="AE10" s="19">
        <f>COUNTIF(AE14:AE1972,"P1")+COUNTIF(AE14:AE1972,"P2")+COUNTIF(AE14:AE1972,"P3")</f>
        <v>22</v>
      </c>
      <c r="AF10" s="19">
        <f>COUNTIF(AF14:AF1972,"P1")+COUNTIF(AF14:AF1972,"P2")+COUNTIF(AF14:AF1972,"P3")</f>
        <v>21</v>
      </c>
      <c r="AG10" s="19">
        <f>COUNTIF(AG14:AG1972,"P1")+COUNTIF(AG14:AG1972,"P2")+COUNTIF(AG14:AG1972,"P3")</f>
        <v>21</v>
      </c>
      <c r="AH10" s="19">
        <f>COUNTIF(AH14:AH1972,"P1")+COUNTIF(AH14:AH1972,"P2")+COUNTIF(AH14:AH1972,"P3")</f>
        <v>23</v>
      </c>
      <c r="AI10" s="19">
        <f>COUNTIF(AI14:AI1972,"P1")+COUNTIF(AI14:AI1972,"P2")+COUNTIF(AI14:AI1972,"P3")</f>
        <v>21</v>
      </c>
      <c r="AJ10" s="19">
        <f>COUNTIF(AJ14:AJ1972,"P1")+COUNTIF(AJ14:AJ1972,"P2")+COUNTIF(AJ14:AJ1972,"P3")</f>
        <v>21</v>
      </c>
      <c r="AK10" s="19">
        <f>COUNTIF(AK14:AK1972,"P1")+COUNTIF(AK14:AK1972,"P2")+COUNTIF(AK14:AK1972,"P3")</f>
        <v>21</v>
      </c>
      <c r="AL10" s="19">
        <f>COUNTIF(AL14:AL1972,"P1")+COUNTIF(AL14:AL1972,"P2")+COUNTIF(AL14:AL1972,"P3")</f>
        <v>22</v>
      </c>
      <c r="AM10" s="19">
        <f>COUNTIF(AM14:AM1972,"P1")+COUNTIF(AM14:AM1972,"P2")+COUNTIF(AM14:AM1972,"P3")</f>
        <v>21</v>
      </c>
      <c r="AN10" s="19">
        <f>COUNTIF(AN14:AN1972,"P1")+COUNTIF(AN14:AN1972,"P2")+COUNTIF(AN14:AN1972,"P3")</f>
        <v>21</v>
      </c>
      <c r="AO10" s="19">
        <f>COUNTIF(AO14:AO1972,"P1")+COUNTIF(AO14:AO1972,"P2")+COUNTIF(AO14:AO1972,"P3")</f>
        <v>23</v>
      </c>
      <c r="AP10" s="19">
        <f>COUNTIF(AP14:AP1972,"P1")+COUNTIF(AP14:AP1972,"P2")+COUNTIF(AP14:AP1972,"P3")</f>
        <v>22</v>
      </c>
      <c r="AQ10" s="19">
        <f>COUNTIF(AQ14:AQ1972,"P1")+COUNTIF(AQ14:AQ1972,"P2")+COUNTIF(AQ14:AQ1972,"P3")</f>
        <v>21</v>
      </c>
      <c r="AR10" s="19">
        <f>COUNTIF(AR14:AR1972,"P1")+COUNTIF(AR14:AR1972,"P2")+COUNTIF(AR14:AR1972,"P3")</f>
        <v>22</v>
      </c>
      <c r="AS10" s="19">
        <f>COUNTIF(AS14:AS1972,"P1")+COUNTIF(AS14:AS1972,"P2")+COUNTIF(AS14:AS1972,"P3")</f>
        <v>21</v>
      </c>
      <c r="AT10" s="19">
        <f>COUNTIF(AT14:AT1972,"P1")+COUNTIF(AT14:AT1972,"P2")+COUNTIF(AT14:AT1972,"P3")</f>
        <v>21</v>
      </c>
      <c r="AU10" s="19">
        <f>COUNTIF(AU14:AU1972,"P1")+COUNTIF(AU14:AU1972,"P2")+COUNTIF(AU14:AU1972,"P3")</f>
        <v>23</v>
      </c>
      <c r="AV10" s="19">
        <f>COUNTIF(AV14:AV1972,"P1")+COUNTIF(AV14:AV1972,"P2")+COUNTIF(AV14:AV1972,"P3")</f>
        <v>14</v>
      </c>
      <c r="AW10" s="19">
        <f>COUNTIF(AW14:AW1972,"P1")+COUNTIF(AW14:AW1972,"P2")+COUNTIF(AW14:AW1972,"P3")</f>
        <v>24</v>
      </c>
      <c r="AX10" s="19">
        <f>COUNTIF(AX14:AX1972,"P1")+COUNTIF(AX14:AX1972,"P2")+COUNTIF(AX14:AX1972,"P3")</f>
        <v>14</v>
      </c>
      <c r="AY10" s="19">
        <f>COUNTIF(AY14:AY1972,"P1")+COUNTIF(AY14:AY1972,"P2")+COUNTIF(AY14:AY1972,"P3")</f>
        <v>14</v>
      </c>
      <c r="AZ10" s="19">
        <f>COUNTIF(AZ14:AZ1972,"P1")+COUNTIF(AZ14:AZ1972,"P2")+COUNTIF(AZ14:AZ1972,"P3")</f>
        <v>14</v>
      </c>
      <c r="BA10" s="19">
        <f>COUNTIF(BA14:BA1972,"P1")+COUNTIF(BA14:BA1972,"P2")+COUNTIF(BA14:BA1972,"P3")</f>
        <v>14</v>
      </c>
      <c r="BB10" s="19">
        <f>COUNTIF(BB14:BB1972,"P1")+COUNTIF(BB14:BB1972,"P2")+COUNTIF(BB14:BB1972,"P3")</f>
        <v>14</v>
      </c>
      <c r="BC10" s="19">
        <f>COUNTIF(BC14:BC1972,"P1")+COUNTIF(BC14:BC1972,"P2")+COUNTIF(BC14:BC1972,"P3")</f>
        <v>8</v>
      </c>
      <c r="BD10" s="19">
        <f>COUNTIF(BD14:BD1972,"P1")+COUNTIF(BD14:BD1972,"P2")+COUNTIF(BD14:BD1972,"P3")</f>
        <v>16</v>
      </c>
      <c r="BE10" s="19">
        <f>COUNTIF(BE14:BE1972,"P1")+COUNTIF(BE14:BE1972,"P2")+COUNTIF(BE14:BE1972,"P3")</f>
        <v>7</v>
      </c>
      <c r="BF10" s="19">
        <f>COUNTIF(BF14:BF1972,"P1")+COUNTIF(BF14:BF1972,"P2")+COUNTIF(BF14:BF1972,"P3")</f>
        <v>7</v>
      </c>
      <c r="BG10" s="19">
        <f>COUNTIF(BG14:BG1972,"P1")+COUNTIF(BG14:BG1972,"P2")+COUNTIF(BG14:BG1972,"P3")</f>
        <v>7</v>
      </c>
      <c r="BH10" s="19">
        <f>COUNTIF(BH14:BH1972,"P1")+COUNTIF(BH14:BH1972,"P2")+COUNTIF(BH14:BH1972,"P3")</f>
        <v>7</v>
      </c>
      <c r="BI10" s="19">
        <f>COUNTIF(BI14:BI1972,"P1")+COUNTIF(BI14:BI1972,"P2")+COUNTIF(BI14:BI1972,"P3")</f>
        <v>0</v>
      </c>
      <c r="BJ10" s="19">
        <f>COUNTIF(BJ14:BJ1972,"P1")+COUNTIF(BJ14:BJ1972,"P2")+COUNTIF(BJ14:BJ1972,"P3")</f>
        <v>9</v>
      </c>
      <c r="BK10" s="19">
        <f>COUNTIF(BK14:BK1972,"P1")+COUNTIF(BK14:BK1972,"P2")+COUNTIF(BK14:BK1972,"P3")</f>
        <v>0</v>
      </c>
      <c r="BL10" s="19">
        <f>COUNTIF(BL14:BL1972,"P1")+COUNTIF(BL14:BL1972,"P2")+COUNTIF(BL14:BL1972,"P3")</f>
        <v>0</v>
      </c>
      <c r="BM10" s="19">
        <f>COUNTIF(BM14:BM1972,"P1")+COUNTIF(BM14:BM1972,"P2")+COUNTIF(BM14:BM1972,"P3")</f>
        <v>0</v>
      </c>
      <c r="BN10" s="19">
        <f>COUNTIF(BN14:BN1972,"P1")+COUNTIF(BN14:BN1972,"P2")+COUNTIF(BN14:BN1972,"P3")</f>
        <v>0</v>
      </c>
      <c r="BO10" s="19">
        <f>COUNTIF(BO14:BO1972,"P1")+COUNTIF(BO14:BO1972,"P2")+COUNTIF(BO14:BO1972,"P3")</f>
        <v>0</v>
      </c>
      <c r="BP10" s="19">
        <f>COUNTIF(BP14:BP1972,"P1")+COUNTIF(BP14:BP1972,"P2")+COUNTIF(BP14:BP1972,"P3")</f>
        <v>0</v>
      </c>
      <c r="BQ10" s="19">
        <f>COUNTIF(BQ14:BQ1972,"P1")+COUNTIF(BQ14:BQ1972,"P2")+COUNTIF(BQ14:BQ1972,"P3")</f>
        <v>0</v>
      </c>
      <c r="BR10" s="19">
        <f>COUNTIF(BR14:BR1972,"P1")+COUNTIF(BR14:BR1972,"P2")+COUNTIF(BR14:BR1972,"P3")</f>
        <v>0</v>
      </c>
      <c r="BS10" s="19">
        <f>COUNTIF(BS14:BS1972,"P1")+COUNTIF(BS14:BS1972,"P2")+COUNTIF(BS14:BS1972,"P3")</f>
        <v>0</v>
      </c>
    </row>
    <row r="11" spans="1:103" s="22" customFormat="1" ht="16.5" customHeight="1" x14ac:dyDescent="0.25">
      <c r="A11" s="12"/>
      <c r="B11" s="93" t="s">
        <v>6</v>
      </c>
      <c r="C11" s="94"/>
      <c r="D11" s="94"/>
      <c r="E11" s="94"/>
      <c r="F11" s="94"/>
      <c r="G11" s="94"/>
      <c r="H11" s="94"/>
      <c r="I11" s="94"/>
      <c r="J11" s="21">
        <f>COUNTIF(J14:J1972,"C1")+COUNTIF(J14:J1972,"C2")</f>
        <v>0</v>
      </c>
      <c r="K11" s="21">
        <f>COUNTIF(K14:K1972,"C1")+COUNTIF(K14:K1972,"C2")</f>
        <v>0</v>
      </c>
      <c r="L11" s="21">
        <f>COUNTIF(L14:L1972,"C1")+COUNTIF(L14:L1972,"C2")</f>
        <v>0</v>
      </c>
      <c r="M11" s="21">
        <f>COUNTIF(M14:M1972,"C1")+COUNTIF(M14:M1972,"C2")</f>
        <v>0</v>
      </c>
      <c r="N11" s="21">
        <f>COUNTIF(N14:N1972,"C1")+COUNTIF(N14:N1972,"C2")</f>
        <v>0</v>
      </c>
      <c r="O11" s="21">
        <f>COUNTIF(O14:O1972,"C1")+COUNTIF(O14:O1972,"C2")</f>
        <v>0</v>
      </c>
      <c r="P11" s="21">
        <f>COUNTIF(P14:P1972,"C1")+COUNTIF(P14:P1972,"C2")</f>
        <v>0</v>
      </c>
      <c r="Q11" s="21">
        <f>COUNTIF(Q14:Q1972,"C1")+COUNTIF(Q14:Q1972,"C2")</f>
        <v>0</v>
      </c>
      <c r="R11" s="21">
        <f>COUNTIF(R14:R1972,"C1")+COUNTIF(R14:R1972,"C2")</f>
        <v>7</v>
      </c>
      <c r="S11" s="21">
        <f>COUNTIF(S14:S1972,"C1")+COUNTIF(S14:S1972,"C2")</f>
        <v>7</v>
      </c>
      <c r="T11" s="21">
        <f>COUNTIF(T14:T1972,"C1")+COUNTIF(T14:T1972,"C2")</f>
        <v>7</v>
      </c>
      <c r="U11" s="21">
        <f>COUNTIF(U14:U1972,"C1")+COUNTIF(U14:U1972,"C2")</f>
        <v>7</v>
      </c>
      <c r="V11" s="21">
        <f>COUNTIF(V14:V1972,"C1")+COUNTIF(V14:V1972,"C2")</f>
        <v>7</v>
      </c>
      <c r="W11" s="21">
        <f>COUNTIF(W14:W1972,"C1")+COUNTIF(W14:W1972,"C2")</f>
        <v>7</v>
      </c>
      <c r="X11" s="21">
        <f>COUNTIF(X14:X1972,"C1")+COUNTIF(X14:X1972,"C2")</f>
        <v>7</v>
      </c>
      <c r="Y11" s="21">
        <f>COUNTIF(Y14:Y1972,"C1")+COUNTIF(Y14:Y1972,"C2")</f>
        <v>14</v>
      </c>
      <c r="Z11" s="21">
        <f>COUNTIF(Z14:Z1972,"C1")+COUNTIF(Z14:Z1972,"C2")</f>
        <v>14</v>
      </c>
      <c r="AA11" s="21">
        <f>COUNTIF(AA14:AA1972,"C1")+COUNTIF(AA14:AA1972,"C2")</f>
        <v>14</v>
      </c>
      <c r="AB11" s="21">
        <f>COUNTIF(AB14:AB1972,"C1")+COUNTIF(AB14:AB1972,"C2")</f>
        <v>14</v>
      </c>
      <c r="AC11" s="21">
        <f>COUNTIF(AC14:AC1972,"C1")+COUNTIF(AC14:AC1972,"C2")</f>
        <v>14</v>
      </c>
      <c r="AD11" s="21">
        <f>COUNTIF(AD14:AD1972,"C1")+COUNTIF(AD14:AD1972,"C2")</f>
        <v>14</v>
      </c>
      <c r="AE11" s="21">
        <f>COUNTIF(AE14:AE1972,"C1")+COUNTIF(AE14:AE1972,"C2")</f>
        <v>14</v>
      </c>
      <c r="AF11" s="21">
        <f>COUNTIF(AF14:AF1972,"C1")+COUNTIF(AF14:AF1972,"C2")</f>
        <v>15</v>
      </c>
      <c r="AG11" s="21">
        <f>COUNTIF(AG14:AG1972,"C1")+COUNTIF(AG14:AG1972,"C2")</f>
        <v>14</v>
      </c>
      <c r="AH11" s="21">
        <f>COUNTIF(AH14:AH1972,"C1")+COUNTIF(AH14:AH1972,"C2")</f>
        <v>14</v>
      </c>
      <c r="AI11" s="21">
        <f>COUNTIF(AI14:AI1972,"C1")+COUNTIF(AI14:AI1972,"C2")</f>
        <v>16</v>
      </c>
      <c r="AJ11" s="21">
        <f>COUNTIF(AJ14:AJ1972,"C1")+COUNTIF(AJ14:AJ1972,"C2")</f>
        <v>14</v>
      </c>
      <c r="AK11" s="21">
        <f>COUNTIF(AK14:AK1972,"C1")+COUNTIF(AK14:AK1972,"C2")</f>
        <v>14</v>
      </c>
      <c r="AL11" s="21">
        <f>COUNTIF(AL14:AL1972,"C1")+COUNTIF(AL14:AL1972,"C2")</f>
        <v>14</v>
      </c>
      <c r="AM11" s="21">
        <f>COUNTIF(AM14:AM1972,"C1")+COUNTIF(AM14:AM1972,"C2")</f>
        <v>15</v>
      </c>
      <c r="AN11" s="21">
        <f>COUNTIF(AN14:AN1972,"C1")+COUNTIF(AN14:AN1972,"C2")</f>
        <v>14</v>
      </c>
      <c r="AO11" s="21">
        <f>COUNTIF(AO14:AO1972,"C1")+COUNTIF(AO14:AO1972,"C2")</f>
        <v>14</v>
      </c>
      <c r="AP11" s="21">
        <f>COUNTIF(AP14:AP1972,"C1")+COUNTIF(AP14:AP1972,"C2")</f>
        <v>16</v>
      </c>
      <c r="AQ11" s="21">
        <f>COUNTIF(AQ14:AQ1972,"C1")+COUNTIF(AQ14:AQ1972,"C2")</f>
        <v>15</v>
      </c>
      <c r="AR11" s="21">
        <f>COUNTIF(AR14:AR1972,"C1")+COUNTIF(AR14:AR1972,"C2")</f>
        <v>14</v>
      </c>
      <c r="AS11" s="21">
        <f>COUNTIF(AS14:AS1972,"C1")+COUNTIF(AS14:AS1972,"C2")</f>
        <v>14</v>
      </c>
      <c r="AT11" s="21">
        <f>COUNTIF(AT14:AT1972,"C1")+COUNTIF(AT14:AT1972,"C2")</f>
        <v>14</v>
      </c>
      <c r="AU11" s="21">
        <f>COUNTIF(AU14:AU1972,"C1")+COUNTIF(AU14:AU1972,"C2")</f>
        <v>14</v>
      </c>
      <c r="AV11" s="21">
        <f>COUNTIF(AV14:AV1972,"C1")+COUNTIF(AV14:AV1972,"C2")</f>
        <v>14</v>
      </c>
      <c r="AW11" s="21">
        <f>COUNTIF(AW14:AW1972,"C1")+COUNTIF(AW14:AW1972,"C2")</f>
        <v>7</v>
      </c>
      <c r="AX11" s="21">
        <f>COUNTIF(AX14:AX1972,"C1")+COUNTIF(AX14:AX1972,"C2")</f>
        <v>17</v>
      </c>
      <c r="AY11" s="21">
        <f>COUNTIF(AY14:AY1972,"C1")+COUNTIF(AY14:AY1972,"C2")</f>
        <v>7</v>
      </c>
      <c r="AZ11" s="21">
        <f>COUNTIF(AZ14:AZ1972,"C1")+COUNTIF(AZ14:AZ1972,"C2")</f>
        <v>7</v>
      </c>
      <c r="BA11" s="21">
        <f>COUNTIF(BA14:BA1972,"C1")+COUNTIF(BA14:BA1972,"C2")</f>
        <v>7</v>
      </c>
      <c r="BB11" s="21">
        <f>COUNTIF(BB14:BB1972,"C1")+COUNTIF(BB14:BB1972,"C2")</f>
        <v>7</v>
      </c>
      <c r="BC11" s="21">
        <f>COUNTIF(BC14:BC1972,"C1")+COUNTIF(BC14:BC1972,"C2")</f>
        <v>7</v>
      </c>
      <c r="BD11" s="21">
        <f>COUNTIF(BD14:BD1972,"C1")+COUNTIF(BD14:BD1972,"C2")</f>
        <v>0</v>
      </c>
      <c r="BE11" s="21">
        <f>COUNTIF(BE14:BE1972,"C1")+COUNTIF(BE14:BE1972,"C2")</f>
        <v>9</v>
      </c>
      <c r="BF11" s="21">
        <f>COUNTIF(BF14:BF1972,"C1")+COUNTIF(BF14:BF1972,"C2")</f>
        <v>0</v>
      </c>
      <c r="BG11" s="21">
        <f>COUNTIF(BG14:BG1972,"C1")+COUNTIF(BG14:BG1972,"C2")</f>
        <v>0</v>
      </c>
      <c r="BH11" s="21">
        <f>COUNTIF(BH14:BH1972,"C1")+COUNTIF(BH14:BH1972,"C2")</f>
        <v>0</v>
      </c>
      <c r="BI11" s="21">
        <f>COUNTIF(BI14:BI1972,"C1")+COUNTIF(BI14:BI1972,"C2")</f>
        <v>0</v>
      </c>
      <c r="BJ11" s="21">
        <f>COUNTIF(BJ14:BJ1972,"C1")+COUNTIF(BJ14:BJ1972,"C2")</f>
        <v>0</v>
      </c>
      <c r="BK11" s="21">
        <f>COUNTIF(BK14:BK1972,"C1")+COUNTIF(BK14:BK1972,"C2")</f>
        <v>0</v>
      </c>
      <c r="BL11" s="21">
        <f>COUNTIF(BL14:BL1972,"C1")+COUNTIF(BL14:BL1972,"C2")</f>
        <v>0</v>
      </c>
      <c r="BM11" s="21">
        <f>COUNTIF(BM14:BM1972,"C1")+COUNTIF(BM14:BM1972,"C2")</f>
        <v>0</v>
      </c>
      <c r="BN11" s="21">
        <f>COUNTIF(BN14:BN1972,"C1")+COUNTIF(BN14:BN1972,"C2")</f>
        <v>0</v>
      </c>
      <c r="BO11" s="21">
        <f>COUNTIF(BO14:BO1972,"C1")+COUNTIF(BO14:BO1972,"C2")</f>
        <v>0</v>
      </c>
      <c r="BP11" s="21">
        <f>COUNTIF(BP14:BP1972,"C1")+COUNTIF(BP14:BP1972,"C2")</f>
        <v>0</v>
      </c>
      <c r="BQ11" s="21">
        <f>COUNTIF(BQ14:BQ1972,"C1")+COUNTIF(BQ14:BQ1972,"C2")</f>
        <v>0</v>
      </c>
      <c r="BR11" s="21">
        <f>COUNTIF(BR14:BR1972,"C1")+COUNTIF(BR14:BR1972,"C2")</f>
        <v>0</v>
      </c>
      <c r="BS11" s="21">
        <f>COUNTIF(BS14:BS1972,"C1")+COUNTIF(BS14:BS1972,"C2")</f>
        <v>0</v>
      </c>
    </row>
    <row r="12" spans="1:103" s="24" customFormat="1" ht="16.5" hidden="1" customHeight="1" x14ac:dyDescent="0.25">
      <c r="A12" s="12"/>
      <c r="B12" s="95" t="s">
        <v>7</v>
      </c>
      <c r="C12" s="96"/>
      <c r="D12" s="96"/>
      <c r="E12" s="96"/>
      <c r="F12" s="96"/>
      <c r="G12" s="96"/>
      <c r="H12" s="96"/>
      <c r="I12" s="96"/>
      <c r="J12" s="23">
        <f>COUNTIF(J15:J1972,"")</f>
        <v>1951</v>
      </c>
      <c r="K12" s="23">
        <f>COUNTIF(K15:K1972,"")</f>
        <v>1951</v>
      </c>
      <c r="L12" s="23">
        <f>COUNTIF(L15:L1972,"")</f>
        <v>1951</v>
      </c>
      <c r="M12" s="23">
        <f>COUNTIF(M15:M1972,"")</f>
        <v>1951</v>
      </c>
      <c r="N12" s="23">
        <f>COUNTIF(N15:N1972,"")</f>
        <v>1951</v>
      </c>
      <c r="O12" s="23">
        <f>COUNTIF(O15:O1972,"")</f>
        <v>1951</v>
      </c>
      <c r="P12" s="23">
        <f>COUNTIF(P15:P1972,"")</f>
        <v>1951</v>
      </c>
      <c r="Q12" s="23">
        <f>COUNTIF(Q15:Q1972,"")</f>
        <v>1944</v>
      </c>
      <c r="R12" s="23">
        <f>COUNTIF(R15:R1972,"")</f>
        <v>1937</v>
      </c>
      <c r="S12" s="23">
        <f>COUNTIF(S15:S1972,"")</f>
        <v>1937</v>
      </c>
      <c r="T12" s="23">
        <f>COUNTIF(T15:T1972,"")</f>
        <v>1937</v>
      </c>
      <c r="U12" s="23">
        <f>COUNTIF(U15:U1972,"")</f>
        <v>1937</v>
      </c>
      <c r="V12" s="23">
        <f>COUNTIF(V15:V1972,"")</f>
        <v>1937</v>
      </c>
      <c r="W12" s="23">
        <f>COUNTIF(W15:W1972,"")</f>
        <v>1937</v>
      </c>
      <c r="X12" s="23">
        <f>COUNTIF(X15:X1972,"")</f>
        <v>1929</v>
      </c>
      <c r="Y12" s="23">
        <f>COUNTIF(Y15:Y1972,"")</f>
        <v>1923</v>
      </c>
      <c r="Z12" s="23">
        <f>COUNTIF(Z15:Z1972,"")</f>
        <v>1923</v>
      </c>
      <c r="AA12" s="23">
        <f>COUNTIF(AA15:AA1972,"")</f>
        <v>1921</v>
      </c>
      <c r="AB12" s="23">
        <f>COUNTIF(AB15:AB1972,"")</f>
        <v>1923</v>
      </c>
      <c r="AC12" s="23">
        <f>COUNTIF(AC15:AC1972,"")</f>
        <v>1924</v>
      </c>
      <c r="AD12" s="23">
        <f>COUNTIF(AD15:AD1972,"")</f>
        <v>1916</v>
      </c>
      <c r="AE12" s="23">
        <f>COUNTIF(AE15:AE1972,"")</f>
        <v>1915</v>
      </c>
      <c r="AF12" s="23">
        <f>COUNTIF(AF15:AF1972,"")</f>
        <v>1915</v>
      </c>
      <c r="AG12" s="23">
        <f>COUNTIF(AG15:AG1972,"")</f>
        <v>1909</v>
      </c>
      <c r="AH12" s="23">
        <f>COUNTIF(AH15:AH1972,"")</f>
        <v>1907</v>
      </c>
      <c r="AI12" s="23">
        <f>COUNTIF(AI15:AI1972,"")</f>
        <v>1906</v>
      </c>
      <c r="AJ12" s="23">
        <f>COUNTIF(AJ15:AJ1972,"")</f>
        <v>1910</v>
      </c>
      <c r="AK12" s="23">
        <f>COUNTIF(AK15:AK1972,"")</f>
        <v>1910</v>
      </c>
      <c r="AL12" s="23">
        <f>COUNTIF(AL15:AL1972,"")</f>
        <v>1908</v>
      </c>
      <c r="AM12" s="23">
        <f>COUNTIF(AM15:AM1972,"")</f>
        <v>1908</v>
      </c>
      <c r="AN12" s="23">
        <f>COUNTIF(AN15:AN1972,"")</f>
        <v>1909</v>
      </c>
      <c r="AO12" s="23">
        <f>COUNTIF(AO15:AO1972,"")</f>
        <v>1914</v>
      </c>
      <c r="AP12" s="23">
        <f>COUNTIF(AP15:AP1972,"")</f>
        <v>1904</v>
      </c>
      <c r="AQ12" s="23">
        <f>COUNTIF(AQ15:AQ1972,"")</f>
        <v>1916</v>
      </c>
      <c r="AR12" s="23">
        <f>COUNTIF(AR15:AR1972,"")</f>
        <v>1916</v>
      </c>
      <c r="AS12" s="23">
        <f>COUNTIF(AS15:AS1972,"")</f>
        <v>1916</v>
      </c>
      <c r="AT12" s="23">
        <f>COUNTIF(AT15:AT1972,"")</f>
        <v>1916</v>
      </c>
      <c r="AU12" s="23">
        <f>COUNTIF(AU15:AU1972,"")</f>
        <v>1913</v>
      </c>
      <c r="AV12" s="23">
        <f>COUNTIF(AV15:AV1972,"")</f>
        <v>1923</v>
      </c>
      <c r="AW12" s="23">
        <f>COUNTIF(AW15:AW1972,"")</f>
        <v>1921</v>
      </c>
      <c r="AX12" s="23">
        <f>COUNTIF(AX15:AX1972,"")</f>
        <v>1918</v>
      </c>
      <c r="AY12" s="23">
        <f>COUNTIF(AY15:AY1972,"")</f>
        <v>1930</v>
      </c>
      <c r="AZ12" s="23">
        <f>COUNTIF(AZ15:AZ1972,"")</f>
        <v>1931</v>
      </c>
      <c r="BA12" s="23">
        <f>COUNTIF(BA15:BA1972,"")</f>
        <v>1930</v>
      </c>
      <c r="BB12" s="23">
        <f>COUNTIF(BB15:BB1972,"")</f>
        <v>1930</v>
      </c>
      <c r="BC12" s="23">
        <f>COUNTIF(BC15:BC1972,"")</f>
        <v>1936</v>
      </c>
      <c r="BD12" s="23">
        <f>COUNTIF(BD15:BD1972,"")</f>
        <v>1935</v>
      </c>
      <c r="BE12" s="23">
        <f>COUNTIF(BE15:BE1972,"")</f>
        <v>1935</v>
      </c>
      <c r="BF12" s="23">
        <f>COUNTIF(BF15:BF1972,"")</f>
        <v>1943</v>
      </c>
      <c r="BG12" s="23">
        <f>COUNTIF(BG15:BG1972,"")</f>
        <v>1944</v>
      </c>
      <c r="BH12" s="23">
        <f>COUNTIF(BH15:BH1972,"")</f>
        <v>1944</v>
      </c>
      <c r="BI12" s="23">
        <f>COUNTIF(BI15:BI1972,"")</f>
        <v>1951</v>
      </c>
      <c r="BJ12" s="23">
        <f>COUNTIF(BJ15:BJ1972,"")</f>
        <v>1942</v>
      </c>
      <c r="BK12" s="23">
        <f>COUNTIF(BK15:BK1972,"")</f>
        <v>1951</v>
      </c>
      <c r="BL12" s="23">
        <f>COUNTIF(BL15:BL1972,"")</f>
        <v>1958</v>
      </c>
      <c r="BM12" s="23">
        <f>COUNTIF(BM15:BM1972,"")</f>
        <v>1949</v>
      </c>
      <c r="BN12" s="23">
        <f>COUNTIF(BN15:BN1972,"")</f>
        <v>1958</v>
      </c>
      <c r="BO12" s="23">
        <f>COUNTIF(BO15:BO1972,"")</f>
        <v>1958</v>
      </c>
      <c r="BP12" s="23">
        <f>COUNTIF(BP15:BP1972,"")</f>
        <v>1958</v>
      </c>
      <c r="BQ12" s="23">
        <f>COUNTIF(BQ15:BQ1972,"")</f>
        <v>1958</v>
      </c>
      <c r="BR12" s="23">
        <f>COUNTIF(BR33:BR1972,"")</f>
        <v>1940</v>
      </c>
      <c r="BS12" s="23">
        <f>COUNTIF(BS28:BS1972,"")</f>
        <v>1945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hidden="1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t="str" cm="1">
        <f t="array" ref="E14">IFERROR(INDEX($J$5:$AVX$5, _xlfn.AGGREGATE(15,6, COLUMN(J14:AVX14)-COLUMN(J14)+1 / (J14:AVX14="T"), F14)), "")</f>
        <v/>
      </c>
      <c r="F14" s="97">
        <f>$A$2</f>
        <v>2</v>
      </c>
      <c r="G14" s="35" cm="1">
        <f t="array" ref="G14">IFERROR(INDEX($J$5:$AVW$5,_xlfn.AGGREGATE(14,6,(COLUMN($J14:$AVW14)-COLUMN($J14)+1)/($J14:$AVW14="T"),1)),"")</f>
        <v>45981</v>
      </c>
      <c r="H14" s="100">
        <f>COUNTIF($J14:$AVV14,"T")</f>
        <v>1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hidden="1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t="str" cm="1">
        <f t="array" ref="E15">IFERROR(INDEX($J$5:$AVX$5, _xlfn.AGGREGATE(15,6, COLUMN(J15:AVX15)-COLUMN(J15)+1 / (J15:AVX15="T"), F15)), "")</f>
        <v/>
      </c>
      <c r="F15" s="97">
        <f>$A$2</f>
        <v>2</v>
      </c>
      <c r="G15" s="35" cm="1">
        <f t="array" ref="G15">IFERROR(INDEX($J$5:$AVW$5,_xlfn.AGGREGATE(14,6,(COLUMN($J15:$AVW15)-COLUMN($J15)+1)/($J15:$AVW15="T"),1)),"")</f>
        <v>45981</v>
      </c>
      <c r="H15" s="100">
        <f>COUNTIF($J15:$AVV15,"T")</f>
        <v>1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hidden="1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t="str" cm="1">
        <f t="array" ref="E16">IFERROR(INDEX($J$5:$AVX$5, _xlfn.AGGREGATE(15,6, COLUMN(J16:AVX16)-COLUMN(J16)+1 / (J16:AVX16="T"), F16)), "")</f>
        <v/>
      </c>
      <c r="F16" s="97">
        <f>$A$2</f>
        <v>2</v>
      </c>
      <c r="G16" s="35" cm="1">
        <f t="array" ref="G16">IFERROR(INDEX($J$5:$AVW$5,_xlfn.AGGREGATE(14,6,(COLUMN($J16:$AVW16)-COLUMN($J16)+1)/($J16:$AVW16="T"),1)),"")</f>
        <v>45981</v>
      </c>
      <c r="H16" s="100">
        <f>COUNTIF($J16:$AVV16,"T")</f>
        <v>1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hidden="1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t="str" cm="1">
        <f t="array" ref="E17">IFERROR(INDEX($J$5:$AVX$5, _xlfn.AGGREGATE(15,6, COLUMN(J17:AVX17)-COLUMN(J17)+1 / (J17:AVX17="T"), F17)), "")</f>
        <v/>
      </c>
      <c r="F17" s="97">
        <f>$A$2</f>
        <v>2</v>
      </c>
      <c r="G17" s="35" cm="1">
        <f t="array" ref="G17">IFERROR(INDEX($J$5:$AVW$5,_xlfn.AGGREGATE(14,6,(COLUMN($J17:$AVW17)-COLUMN($J17)+1)/($J17:$AVW17="T"),1)),"")</f>
        <v>45981</v>
      </c>
      <c r="H17" s="100">
        <f>COUNTIF($J17:$AVV17,"T")</f>
        <v>1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hidden="1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t="str" cm="1">
        <f t="array" ref="E18">IFERROR(INDEX($J$5:$AVX$5, _xlfn.AGGREGATE(15,6, COLUMN(J18:AVX18)-COLUMN(J18)+1 / (J18:AVX18="T"), F18)), "")</f>
        <v/>
      </c>
      <c r="F18" s="97">
        <f>$A$2</f>
        <v>2</v>
      </c>
      <c r="G18" s="35" cm="1">
        <f t="array" ref="G18">IFERROR(INDEX($J$5:$AVW$5,_xlfn.AGGREGATE(14,6,(COLUMN($J18:$AVW18)-COLUMN($J18)+1)/($J18:$AVW18="T"),1)),"")</f>
        <v>45981</v>
      </c>
      <c r="H18" s="100">
        <f>COUNTIF($J18:$AVV18,"T")</f>
        <v>1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hidden="1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t="str" cm="1">
        <f t="array" ref="E19">IFERROR(INDEX($J$5:$AVX$5, _xlfn.AGGREGATE(15,6, COLUMN(J19:AVX19)-COLUMN(J19)+1 / (J19:AVX19="T"), F19)), "")</f>
        <v/>
      </c>
      <c r="F19" s="97">
        <f>$A$2</f>
        <v>2</v>
      </c>
      <c r="G19" s="35" cm="1">
        <f t="array" ref="G19">IFERROR(INDEX($J$5:$AVW$5,_xlfn.AGGREGATE(14,6,(COLUMN($J19:$AVW19)-COLUMN($J19)+1)/($J19:$AVW19="T"),1)),"")</f>
        <v>45981</v>
      </c>
      <c r="H19" s="100">
        <f>COUNTIF($J19:$AVV19,"T")</f>
        <v>1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hidden="1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t="str" cm="1">
        <f t="array" ref="E20">IFERROR(INDEX($J$5:$AVX$5, _xlfn.AGGREGATE(15,6, COLUMN(J20:AVX20)-COLUMN(J20)+1 / (J20:AVX20="T"), F20)), "")</f>
        <v/>
      </c>
      <c r="F20" s="97">
        <f>$A$2</f>
        <v>2</v>
      </c>
      <c r="G20" s="35" cm="1">
        <f t="array" ref="G20">IFERROR(INDEX($J$5:$AVW$5,_xlfn.AGGREGATE(14,6,(COLUMN($J20:$AVW20)-COLUMN($J20)+1)/($J20:$AVW20="T"),1)),"")</f>
        <v>45981</v>
      </c>
      <c r="H20" s="100">
        <f>COUNTIF($J20:$AVV20,"T")</f>
        <v>1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hidden="1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t="str" cm="1">
        <f t="array" ref="E21">IFERROR(INDEX($J$5:$AVX$5, _xlfn.AGGREGATE(15,6, COLUMN(J21:AVX21)-COLUMN(J21)+1 / (J21:AVX21="T"), F21)), "")</f>
        <v/>
      </c>
      <c r="F21" s="97">
        <f>$A$2</f>
        <v>2</v>
      </c>
      <c r="G21" s="35" cm="1">
        <f t="array" ref="G21">IFERROR(INDEX($J$5:$AVW$5,_xlfn.AGGREGATE(14,6,(COLUMN($J21:$AVW21)-COLUMN($J21)+1)/($J21:$AVW21="T"),1)),"")</f>
        <v>45983</v>
      </c>
      <c r="H21" s="100">
        <f>COUNTIF($J21:$AVV21,"T")</f>
        <v>1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hidden="1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t="str" cm="1">
        <f t="array" ref="E22">IFERROR(INDEX($J$5:$AVX$5, _xlfn.AGGREGATE(15,6, COLUMN(J22:AVX22)-COLUMN(J22)+1 / (J22:AVX22="T"), F22)), "")</f>
        <v/>
      </c>
      <c r="F22" s="97">
        <f>$A$2</f>
        <v>2</v>
      </c>
      <c r="G22" s="35" cm="1">
        <f t="array" ref="G22">IFERROR(INDEX($J$5:$AVW$5,_xlfn.AGGREGATE(14,6,(COLUMN($J22:$AVW22)-COLUMN($J22)+1)/($J22:$AVW22="T"),1)),"")</f>
        <v>45983</v>
      </c>
      <c r="H22" s="100">
        <f>COUNTIF($J22:$AVV22,"T")</f>
        <v>1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hidden="1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t="str" cm="1">
        <f t="array" ref="E23">IFERROR(INDEX($J$5:$AVX$5, _xlfn.AGGREGATE(15,6, COLUMN(J23:AVX23)-COLUMN(J23)+1 / (J23:AVX23="T"), F23)), "")</f>
        <v/>
      </c>
      <c r="F23" s="97">
        <f>$A$2</f>
        <v>2</v>
      </c>
      <c r="G23" s="35" cm="1">
        <f t="array" ref="G23">IFERROR(INDEX($J$5:$AVW$5,_xlfn.AGGREGATE(14,6,(COLUMN($J23:$AVW23)-COLUMN($J23)+1)/($J23:$AVW23="T"),1)),"")</f>
        <v>45983</v>
      </c>
      <c r="H23" s="100">
        <f>COUNTIF($J23:$AVV23,"T")</f>
        <v>1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hidden="1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t="str" cm="1">
        <f t="array" ref="E24">IFERROR(INDEX($J$5:$AVX$5, _xlfn.AGGREGATE(15,6, COLUMN(J24:AVX24)-COLUMN(J24)+1 / (J24:AVX24="T"), F24)), "")</f>
        <v/>
      </c>
      <c r="F24" s="97">
        <f>$A$2</f>
        <v>2</v>
      </c>
      <c r="G24" s="35" cm="1">
        <f t="array" ref="G24">IFERROR(INDEX($J$5:$AVW$5,_xlfn.AGGREGATE(14,6,(COLUMN($J24:$AVW24)-COLUMN($J24)+1)/($J24:$AVW24="T"),1)),"")</f>
        <v>45983</v>
      </c>
      <c r="H24" s="100">
        <f>COUNTIF($J24:$AVV24,"T")</f>
        <v>1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hidden="1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t="str" cm="1">
        <f t="array" ref="E25">IFERROR(INDEX($J$5:$AVX$5, _xlfn.AGGREGATE(15,6, COLUMN(J25:AVX25)-COLUMN(J25)+1 / (J25:AVX25="T"), F25)), "")</f>
        <v/>
      </c>
      <c r="F25" s="97">
        <f>$A$2</f>
        <v>2</v>
      </c>
      <c r="G25" s="35" cm="1">
        <f t="array" ref="G25">IFERROR(INDEX($J$5:$AVW$5,_xlfn.AGGREGATE(14,6,(COLUMN($J25:$AVW25)-COLUMN($J25)+1)/($J25:$AVW25="T"),1)),"")</f>
        <v>45983</v>
      </c>
      <c r="H25" s="100">
        <f>COUNTIF($J25:$AVV25,"T")</f>
        <v>1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hidden="1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t="str" cm="1">
        <f t="array" ref="E26">IFERROR(INDEX($J$5:$AVX$5, _xlfn.AGGREGATE(15,6, COLUMN(J26:AVX26)-COLUMN(J26)+1 / (J26:AVX26="T"), F26)), "")</f>
        <v/>
      </c>
      <c r="F26" s="97">
        <f>$A$2</f>
        <v>2</v>
      </c>
      <c r="G26" s="35" cm="1">
        <f t="array" ref="G26">IFERROR(INDEX($J$5:$AVW$5,_xlfn.AGGREGATE(14,6,(COLUMN($J26:$AVW26)-COLUMN($J26)+1)/($J26:$AVW26="T"),1)),"")</f>
        <v>45983</v>
      </c>
      <c r="H26" s="100">
        <f>COUNTIF($J26:$AVV26,"T")</f>
        <v>1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hidden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t="str" cm="1">
        <f t="array" ref="E27">IFERROR(INDEX($J$5:$AVX$5, _xlfn.AGGREGATE(15,6, COLUMN(J27:AVX27)-COLUMN(J27)+1 / (J27:AVX27="T"), F27)), "")</f>
        <v/>
      </c>
      <c r="F27" s="97">
        <f>$A$2</f>
        <v>2</v>
      </c>
      <c r="G27" s="35" cm="1">
        <f t="array" ref="G27">IFERROR(INDEX($J$5:$AVW$5,_xlfn.AGGREGATE(14,6,(COLUMN($J27:$AVW27)-COLUMN($J27)+1)/($J27:$AVW27="T"),1)),"")</f>
        <v>45983</v>
      </c>
      <c r="H27" s="100">
        <f>COUNTIF($J27:$AVV27,"T")</f>
        <v>1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hidden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t="str" cm="1">
        <f t="array" ref="E28">IFERROR(INDEX($J$5:$AVX$5, _xlfn.AGGREGATE(15,6, COLUMN(J28:AVX28)-COLUMN(J28)+1 / (J28:AVX28="T"), F28)), "")</f>
        <v/>
      </c>
      <c r="F28" s="97">
        <f>$A$2</f>
        <v>2</v>
      </c>
      <c r="G28" s="35" cm="1">
        <f t="array" ref="G28">IFERROR(INDEX($J$5:$AVW$5,_xlfn.AGGREGATE(14,6,(COLUMN($J28:$AVW28)-COLUMN($J28)+1)/($J28:$AVW28="T"),1)),"")</f>
        <v>45985</v>
      </c>
      <c r="H28" s="100">
        <f>COUNTIF($J28:$AVV28,"T")</f>
        <v>1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hidden="1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t="str" cm="1">
        <f t="array" ref="E29">IFERROR(INDEX($J$5:$AVX$5, _xlfn.AGGREGATE(15,6, COLUMN(J29:AVX29)-COLUMN(J29)+1 / (J29:AVX29="T"), F29)), "")</f>
        <v/>
      </c>
      <c r="F29" s="97">
        <f>$A$2</f>
        <v>2</v>
      </c>
      <c r="G29" s="35" cm="1">
        <f t="array" ref="G29">IFERROR(INDEX($J$5:$AVW$5,_xlfn.AGGREGATE(14,6,(COLUMN($J29:$AVW29)-COLUMN($J29)+1)/($J29:$AVW29="T"),1)),"")</f>
        <v>45985</v>
      </c>
      <c r="H29" s="100">
        <f>COUNTIF($J29:$AVV29,"T")</f>
        <v>1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hidden="1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t="str" cm="1">
        <f t="array" ref="E30">IFERROR(INDEX($J$5:$AVX$5, _xlfn.AGGREGATE(15,6, COLUMN(J30:AVX30)-COLUMN(J30)+1 / (J30:AVX30="T"), F30)), "")</f>
        <v/>
      </c>
      <c r="F30" s="97">
        <f>$A$2</f>
        <v>2</v>
      </c>
      <c r="G30" s="35" cm="1">
        <f t="array" ref="G30">IFERROR(INDEX($J$5:$AVW$5,_xlfn.AGGREGATE(14,6,(COLUMN($J30:$AVW30)-COLUMN($J30)+1)/($J30:$AVW30="T"),1)),"")</f>
        <v>45985</v>
      </c>
      <c r="H30" s="100">
        <f>COUNTIF($J30:$AVV30,"T")</f>
        <v>1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hidden="1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t="str" cm="1">
        <f t="array" ref="E31">IFERROR(INDEX($J$5:$AVX$5, _xlfn.AGGREGATE(15,6, COLUMN(J31:AVX31)-COLUMN(J31)+1 / (J31:AVX31="T"), F31)), "")</f>
        <v/>
      </c>
      <c r="F31" s="97">
        <f>$A$2</f>
        <v>2</v>
      </c>
      <c r="G31" s="35" cm="1">
        <f t="array" ref="G31">IFERROR(INDEX($J$5:$AVW$5,_xlfn.AGGREGATE(14,6,(COLUMN($J31:$AVW31)-COLUMN($J31)+1)/($J31:$AVW31="T"),1)),"")</f>
        <v>45985</v>
      </c>
      <c r="H31" s="100">
        <f>COUNTIF($J31:$AVV31,"T")</f>
        <v>1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hidden="1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t="str" cm="1">
        <f t="array" ref="E32">IFERROR(INDEX($J$5:$AVX$5, _xlfn.AGGREGATE(15,6, COLUMN(J32:AVX32)-COLUMN(J32)+1 / (J32:AVX32="T"), F32)), "")</f>
        <v/>
      </c>
      <c r="F32" s="97">
        <f>$A$2</f>
        <v>2</v>
      </c>
      <c r="G32" s="35" cm="1">
        <f t="array" ref="G32">IFERROR(INDEX($J$5:$AVW$5,_xlfn.AGGREGATE(14,6,(COLUMN($J32:$AVW32)-COLUMN($J32)+1)/($J32:$AVW32="T"),1)),"")</f>
        <v>45985</v>
      </c>
      <c r="H32" s="100">
        <f>COUNTIF($J32:$AVV32,"T")</f>
        <v>1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hidden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97">
        <f>$A$2</f>
        <v>2</v>
      </c>
      <c r="G33" s="35" t="str" cm="1">
        <f t="array" ref="G33">IFERROR(INDEX($J$5:$AVW$5,_xlfn.AGGREGATE(14,6,(COLUMN($J33:$AVW33)-COLUMN($J33)+1)/($J33:$AVW33="T"),1)),"")</f>
        <v/>
      </c>
      <c r="H33" s="100">
        <f>COUNTIF($J33:$AVV33,"T")</f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hidden="1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t="str" cm="1">
        <f t="array" ref="E34">IFERROR(INDEX($J$5:$AVX$5, _xlfn.AGGREGATE(15,6, COLUMN(J34:AVX34)-COLUMN(J34)+1 / (J34:AVX34="T"), F34)), "")</f>
        <v/>
      </c>
      <c r="F34" s="97">
        <f>$A$2</f>
        <v>2</v>
      </c>
      <c r="G34" s="35" cm="1">
        <f t="array" ref="G34">IFERROR(INDEX($J$5:$AVW$5,_xlfn.AGGREGATE(14,6,(COLUMN($J34:$AVW34)-COLUMN($J34)+1)/($J34:$AVW34="T"),1)),"")</f>
        <v>45982</v>
      </c>
      <c r="H34" s="100">
        <f>COUNTIF($J34:$AVV34,"T")</f>
        <v>1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hidden="1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t="str" cm="1">
        <f t="array" ref="E35">IFERROR(INDEX($J$5:$AVX$5, _xlfn.AGGREGATE(15,6, COLUMN(J35:AVX35)-COLUMN(J35)+1 / (J35:AVX35="T"), F35)), "")</f>
        <v/>
      </c>
      <c r="F35" s="97">
        <f>$A$2</f>
        <v>2</v>
      </c>
      <c r="G35" s="35" cm="1">
        <f t="array" ref="G35">IFERROR(INDEX($J$5:$AVW$5,_xlfn.AGGREGATE(14,6,(COLUMN($J35:$AVW35)-COLUMN($J35)+1)/($J35:$AVW35="T"),1)),"")</f>
        <v>45982</v>
      </c>
      <c r="H35" s="100">
        <f>COUNTIF($J35:$AVV35,"T")</f>
        <v>1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hidden="1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t="str" cm="1">
        <f t="array" ref="E36">IFERROR(INDEX($J$5:$AVX$5, _xlfn.AGGREGATE(15,6, COLUMN(J36:AVX36)-COLUMN(J36)+1 / (J36:AVX36="T"), F36)), "")</f>
        <v/>
      </c>
      <c r="F36" s="97">
        <f>$A$2</f>
        <v>2</v>
      </c>
      <c r="G36" s="35" cm="1">
        <f t="array" ref="G36">IFERROR(INDEX($J$5:$AVW$5,_xlfn.AGGREGATE(14,6,(COLUMN($J36:$AVW36)-COLUMN($J36)+1)/($J36:$AVW36="T"),1)),"")</f>
        <v>45982</v>
      </c>
      <c r="H36" s="100">
        <f>COUNTIF($J36:$AVV36,"T")</f>
        <v>1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hidden="1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t="str" cm="1">
        <f t="array" ref="E37">IFERROR(INDEX($J$5:$AVX$5, _xlfn.AGGREGATE(15,6, COLUMN(J37:AVX37)-COLUMN(J37)+1 / (J37:AVX37="T"), F37)), "")</f>
        <v/>
      </c>
      <c r="F37" s="97">
        <f>$A$2</f>
        <v>2</v>
      </c>
      <c r="G37" s="35" cm="1">
        <f t="array" ref="G37">IFERROR(INDEX($J$5:$AVW$5,_xlfn.AGGREGATE(14,6,(COLUMN($J37:$AVW37)-COLUMN($J37)+1)/($J37:$AVW37="T"),1)),"")</f>
        <v>45982</v>
      </c>
      <c r="H37" s="100">
        <f>COUNTIF($J37:$AVV37,"T")</f>
        <v>1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hidden="1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t="str" cm="1">
        <f t="array" ref="E38">IFERROR(INDEX($J$5:$AVX$5, _xlfn.AGGREGATE(15,6, COLUMN(J38:AVX38)-COLUMN(J38)+1 / (J38:AVX38="T"), F38)), "")</f>
        <v/>
      </c>
      <c r="F38" s="97">
        <f>$A$2</f>
        <v>2</v>
      </c>
      <c r="G38" s="35" cm="1">
        <f t="array" ref="G38">IFERROR(INDEX($J$5:$AVW$5,_xlfn.AGGREGATE(14,6,(COLUMN($J38:$AVW38)-COLUMN($J38)+1)/($J38:$AVW38="T"),1)),"")</f>
        <v>45982</v>
      </c>
      <c r="H38" s="100">
        <f>COUNTIF($J38:$AVV38,"T")</f>
        <v>1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hidden="1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t="str" cm="1">
        <f t="array" ref="E39">IFERROR(INDEX($J$5:$AVX$5, _xlfn.AGGREGATE(15,6, COLUMN(J39:AVX39)-COLUMN(J39)+1 / (J39:AVX39="T"), F39)), "")</f>
        <v/>
      </c>
      <c r="F39" s="97">
        <f>$A$2</f>
        <v>2</v>
      </c>
      <c r="G39" s="35" cm="1">
        <f t="array" ref="G39">IFERROR(INDEX($J$5:$AVW$5,_xlfn.AGGREGATE(14,6,(COLUMN($J39:$AVW39)-COLUMN($J39)+1)/($J39:$AVW39="T"),1)),"")</f>
        <v>45982</v>
      </c>
      <c r="H39" s="100">
        <f>COUNTIF($J39:$AVV39,"T")</f>
        <v>1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hidden="1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t="str" cm="1">
        <f t="array" ref="E40">IFERROR(INDEX($J$5:$AVX$5, _xlfn.AGGREGATE(15,6, COLUMN(J40:AVX40)-COLUMN(J40)+1 / (J40:AVX40="T"), F40)), "")</f>
        <v/>
      </c>
      <c r="F40" s="97">
        <f>$A$2</f>
        <v>2</v>
      </c>
      <c r="G40" s="35" cm="1">
        <f t="array" ref="G40">IFERROR(INDEX($J$5:$AVW$5,_xlfn.AGGREGATE(14,6,(COLUMN($J40:$AVW40)-COLUMN($J40)+1)/($J40:$AVW40="T"),1)),"")</f>
        <v>45982</v>
      </c>
      <c r="H40" s="100">
        <f>COUNTIF($J40:$AVV40,"T")</f>
        <v>1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hidden="1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t="str" cm="1">
        <f t="array" ref="E41">IFERROR(INDEX($J$5:$AVX$5, _xlfn.AGGREGATE(15,6, COLUMN(J41:AVX41)-COLUMN(J41)+1 / (J41:AVX41="T"), F41)), "")</f>
        <v/>
      </c>
      <c r="F41" s="97">
        <f>$A$2</f>
        <v>2</v>
      </c>
      <c r="G41" s="35" cm="1">
        <f t="array" ref="G41">IFERROR(INDEX($J$5:$AVW$5,_xlfn.AGGREGATE(14,6,(COLUMN($J41:$AVW41)-COLUMN($J41)+1)/($J41:$AVW41="T"),1)),"")</f>
        <v>45984</v>
      </c>
      <c r="H41" s="100">
        <f>COUNTIF($J41:$AVV41,"T")</f>
        <v>1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33"/>
      <c r="BI41" s="33"/>
      <c r="BJ41" s="33"/>
      <c r="BK41" s="33"/>
      <c r="BL41" s="33"/>
      <c r="BM41" s="33"/>
      <c r="BN41" s="33"/>
      <c r="BO41" s="33"/>
      <c r="BP41" s="33"/>
      <c r="BQ41" s="33"/>
      <c r="BR41" s="33"/>
      <c r="BS41" s="33"/>
      <c r="BT41" s="33"/>
      <c r="BU41" s="33"/>
      <c r="BV41" s="33"/>
      <c r="BW41" s="33"/>
      <c r="BX41" s="33"/>
      <c r="BY41" s="33"/>
      <c r="BZ41" s="33"/>
      <c r="CA41" s="33"/>
      <c r="CB41" s="33"/>
      <c r="CC41" s="33"/>
      <c r="CD41" s="33"/>
      <c r="CE41" s="33"/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hidden="1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t="str" cm="1">
        <f t="array" ref="E42">IFERROR(INDEX($J$5:$AVX$5, _xlfn.AGGREGATE(15,6, COLUMN(J42:AVX42)-COLUMN(J42)+1 / (J42:AVX42="T"), F42)), "")</f>
        <v/>
      </c>
      <c r="F42" s="97">
        <f>$A$2</f>
        <v>2</v>
      </c>
      <c r="G42" s="35" cm="1">
        <f t="array" ref="G42">IFERROR(INDEX($J$5:$AVW$5,_xlfn.AGGREGATE(14,6,(COLUMN($J42:$AVW42)-COLUMN($J42)+1)/($J42:$AVW42="T"),1)),"")</f>
        <v>45984</v>
      </c>
      <c r="H42" s="100">
        <f>COUNTIF($J42:$AVV42,"T")</f>
        <v>1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33"/>
      <c r="BI42" s="33"/>
      <c r="BJ42" s="33"/>
      <c r="BK42" s="33"/>
      <c r="BL42" s="33"/>
      <c r="BM42" s="33"/>
      <c r="BN42" s="33"/>
      <c r="BO42" s="33"/>
      <c r="BP42" s="33"/>
      <c r="BQ42" s="33"/>
      <c r="BR42" s="33"/>
      <c r="BS42" s="33"/>
      <c r="BT42" s="33"/>
      <c r="BU42" s="33"/>
      <c r="BV42" s="33"/>
      <c r="BW42" s="33"/>
      <c r="BX42" s="33"/>
      <c r="BY42" s="33"/>
      <c r="BZ42" s="33"/>
      <c r="CA42" s="33"/>
      <c r="CB42" s="33"/>
      <c r="CC42" s="33"/>
      <c r="CD42" s="33"/>
      <c r="CE42" s="33"/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hidden="1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t="str" cm="1">
        <f t="array" ref="E43">IFERROR(INDEX($J$5:$AVX$5, _xlfn.AGGREGATE(15,6, COLUMN(J43:AVX43)-COLUMN(J43)+1 / (J43:AVX43="T"), F43)), "")</f>
        <v/>
      </c>
      <c r="F43" s="97">
        <f>$A$2</f>
        <v>2</v>
      </c>
      <c r="G43" s="35" cm="1">
        <f t="array" ref="G43">IFERROR(INDEX($J$5:$AVW$5,_xlfn.AGGREGATE(14,6,(COLUMN($J43:$AVW43)-COLUMN($J43)+1)/($J43:$AVW43="T"),1)),"")</f>
        <v>45984</v>
      </c>
      <c r="H43" s="100">
        <f>COUNTIF($J43:$AVV43,"T")</f>
        <v>1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  <c r="CE43" s="33"/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hidden="1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t="str" cm="1">
        <f t="array" ref="E44">IFERROR(INDEX($J$5:$AVX$5, _xlfn.AGGREGATE(15,6, COLUMN(J44:AVX44)-COLUMN(J44)+1 / (J44:AVX44="T"), F44)), "")</f>
        <v/>
      </c>
      <c r="F44" s="97">
        <f>$A$2</f>
        <v>2</v>
      </c>
      <c r="G44" s="35" cm="1">
        <f t="array" ref="G44">IFERROR(INDEX($J$5:$AVW$5,_xlfn.AGGREGATE(14,6,(COLUMN($J44:$AVW44)-COLUMN($J44)+1)/($J44:$AVW44="T"),1)),"")</f>
        <v>45984</v>
      </c>
      <c r="H44" s="100">
        <f>COUNTIF($J44:$AVV44,"T")</f>
        <v>1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33"/>
      <c r="BI44" s="33"/>
      <c r="BJ44" s="33"/>
      <c r="BK44" s="33"/>
      <c r="BL44" s="33"/>
      <c r="BM44" s="33"/>
      <c r="BN44" s="33"/>
      <c r="BO44" s="33"/>
      <c r="BP44" s="33"/>
      <c r="BQ44" s="33"/>
      <c r="BR44" s="33"/>
      <c r="BS44" s="33"/>
      <c r="BT44" s="33"/>
      <c r="BU44" s="33"/>
      <c r="BV44" s="33"/>
      <c r="BW44" s="33"/>
      <c r="BX44" s="33"/>
      <c r="BY44" s="33"/>
      <c r="BZ44" s="33"/>
      <c r="CA44" s="33"/>
      <c r="CB44" s="33"/>
      <c r="CC44" s="33"/>
      <c r="CD44" s="33"/>
      <c r="CE44" s="33"/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hidden="1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t="str" cm="1">
        <f t="array" ref="E45">IFERROR(INDEX($J$5:$AVX$5, _xlfn.AGGREGATE(15,6, COLUMN(J45:AVX45)-COLUMN(J45)+1 / (J45:AVX45="T"), F45)), "")</f>
        <v/>
      </c>
      <c r="F45" s="97">
        <f>$A$2</f>
        <v>2</v>
      </c>
      <c r="G45" s="35" cm="1">
        <f t="array" ref="G45">IFERROR(INDEX($J$5:$AVW$5,_xlfn.AGGREGATE(14,6,(COLUMN($J45:$AVW45)-COLUMN($J45)+1)/($J45:$AVW45="T"),1)),"")</f>
        <v>45984</v>
      </c>
      <c r="H45" s="100">
        <f>COUNTIF($J45:$AVV45,"T")</f>
        <v>1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hidden="1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t="str" cm="1">
        <f t="array" ref="E46">IFERROR(INDEX($J$5:$AVX$5, _xlfn.AGGREGATE(15,6, COLUMN(J46:AVX46)-COLUMN(J46)+1 / (J46:AVX46="T"), F46)), "")</f>
        <v/>
      </c>
      <c r="F46" s="97">
        <f>$A$2</f>
        <v>2</v>
      </c>
      <c r="G46" s="35" cm="1">
        <f t="array" ref="G46">IFERROR(INDEX($J$5:$AVW$5,_xlfn.AGGREGATE(14,6,(COLUMN($J46:$AVW46)-COLUMN($J46)+1)/($J46:$AVW46="T"),1)),"")</f>
        <v>45984</v>
      </c>
      <c r="H46" s="100">
        <f>COUNTIF($J46:$AVV46,"T")</f>
        <v>1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33"/>
      <c r="BI46" s="33"/>
      <c r="BJ46" s="33"/>
      <c r="BK46" s="33"/>
      <c r="BL46" s="33"/>
      <c r="BM46" s="33"/>
      <c r="BN46" s="33"/>
      <c r="BO46" s="33"/>
      <c r="BP46" s="33"/>
      <c r="BQ46" s="33"/>
      <c r="BR46" s="33"/>
      <c r="BS46" s="33"/>
      <c r="BT46" s="33"/>
      <c r="BU46" s="33"/>
      <c r="BV46" s="33"/>
      <c r="BW46" s="33"/>
      <c r="BX46" s="33"/>
      <c r="BY46" s="33"/>
      <c r="BZ46" s="33"/>
      <c r="CA46" s="33"/>
      <c r="CB46" s="33"/>
      <c r="CC46" s="33"/>
      <c r="CD46" s="33"/>
      <c r="CE46" s="33"/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hidden="1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t="str" cm="1">
        <f t="array" ref="E47">IFERROR(INDEX($J$5:$AVX$5, _xlfn.AGGREGATE(15,6, COLUMN(J47:AVX47)-COLUMN(J47)+1 / (J47:AVX47="T"), F47)), "")</f>
        <v/>
      </c>
      <c r="F47" s="97">
        <f>$A$2</f>
        <v>2</v>
      </c>
      <c r="G47" s="35" cm="1">
        <f t="array" ref="G47">IFERROR(INDEX($J$5:$AVW$5,_xlfn.AGGREGATE(14,6,(COLUMN($J47:$AVW47)-COLUMN($J47)+1)/($J47:$AVW47="T"),1)),"")</f>
        <v>45984</v>
      </c>
      <c r="H47" s="100">
        <f>COUNTIF($J47:$AVV47,"T")</f>
        <v>1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33"/>
      <c r="BI47" s="33"/>
      <c r="BJ47" s="33"/>
      <c r="BK47" s="33"/>
      <c r="BL47" s="33"/>
      <c r="BM47" s="33"/>
      <c r="BN47" s="33"/>
      <c r="BO47" s="33"/>
      <c r="BP47" s="33"/>
      <c r="BQ47" s="33"/>
      <c r="BR47" s="33"/>
      <c r="BS47" s="33"/>
      <c r="BT47" s="33"/>
      <c r="BU47" s="33"/>
      <c r="BV47" s="33"/>
      <c r="BW47" s="33"/>
      <c r="BX47" s="33"/>
      <c r="BY47" s="33"/>
      <c r="BZ47" s="33"/>
      <c r="CA47" s="33"/>
      <c r="CB47" s="33"/>
      <c r="CC47" s="33"/>
      <c r="CD47" s="33"/>
      <c r="CE47" s="33"/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hidden="1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t="str" cm="1">
        <f t="array" ref="E48">IFERROR(INDEX($J$5:$AVX$5, _xlfn.AGGREGATE(15,6, COLUMN(J48:AVX48)-COLUMN(J48)+1 / (J48:AVX48="T"), F48)), "")</f>
        <v/>
      </c>
      <c r="F48" s="97">
        <f>$A$2</f>
        <v>2</v>
      </c>
      <c r="G48" s="35" cm="1">
        <f t="array" ref="G48">IFERROR(INDEX($J$5:$AVW$5,_xlfn.AGGREGATE(14,6,(COLUMN($J48:$AVW48)-COLUMN($J48)+1)/($J48:$AVW48="T"),1)),"")</f>
        <v>45985</v>
      </c>
      <c r="H48" s="100">
        <f>COUNTIF($J48:$AVV48,"T")</f>
        <v>1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hidden="1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t="str" cm="1">
        <f t="array" ref="E49">IFERROR(INDEX($J$5:$AVX$5, _xlfn.AGGREGATE(15,6, COLUMN(J49:AVX49)-COLUMN(J49)+1 / (J49:AVX49="T"), F49)), "")</f>
        <v/>
      </c>
      <c r="F49" s="97">
        <f>$A$2</f>
        <v>2</v>
      </c>
      <c r="G49" s="35" cm="1">
        <f t="array" ref="G49">IFERROR(INDEX($J$5:$AVW$5,_xlfn.AGGREGATE(14,6,(COLUMN($J49:$AVW49)-COLUMN($J49)+1)/($J49:$AVW49="T"),1)),"")</f>
        <v>45985</v>
      </c>
      <c r="H49" s="100">
        <f>COUNTIF($J49:$AVV49,"T")</f>
        <v>1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33"/>
      <c r="BJ49" s="33"/>
      <c r="BK49" s="33"/>
      <c r="BL49" s="33"/>
      <c r="BM49" s="33"/>
      <c r="BN49" s="33"/>
      <c r="BO49" s="33"/>
      <c r="BP49" s="33"/>
      <c r="BQ49" s="33"/>
      <c r="BR49" s="33"/>
      <c r="BS49" s="33"/>
      <c r="BT49" s="33"/>
      <c r="BU49" s="33"/>
      <c r="BV49" s="33"/>
      <c r="BW49" s="33"/>
      <c r="BX49" s="33"/>
      <c r="BY49" s="33"/>
      <c r="BZ49" s="33"/>
      <c r="CA49" s="33"/>
      <c r="CB49" s="33"/>
      <c r="CC49" s="33"/>
      <c r="CD49" s="33"/>
      <c r="CE49" s="33"/>
      <c r="CF49" s="33"/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hidden="1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97">
        <f>$A$2</f>
        <v>2</v>
      </c>
      <c r="G50" s="35" cm="1">
        <f t="array" ref="G50">IFERROR(INDEX($J$5:$AVW$5,_xlfn.AGGREGATE(14,6,(COLUMN($J50:$AVW50)-COLUMN($J50)+1)/($J50:$AVW50="T"),1)),"")</f>
        <v>45986</v>
      </c>
      <c r="H50" s="100">
        <f>COUNTIF($J50:$AVV50,"T")</f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hidden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97">
        <f>$A$2</f>
        <v>2</v>
      </c>
      <c r="G51" s="35" cm="1">
        <f t="array" ref="G51">IFERROR(INDEX($J$5:$AVW$5,_xlfn.AGGREGATE(14,6,(COLUMN($J51:$AVW51)-COLUMN($J51)+1)/($J51:$AVW51="T"),1)),"")</f>
        <v>45986</v>
      </c>
      <c r="H51" s="100">
        <f>COUNTIF($J51:$AVV51,"T")</f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hidden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97">
        <f>$A$2</f>
        <v>2</v>
      </c>
      <c r="G52" s="35" cm="1">
        <f t="array" ref="G52">IFERROR(INDEX($J$5:$AVW$5,_xlfn.AGGREGATE(14,6,(COLUMN($J52:$AVW52)-COLUMN($J52)+1)/($J52:$AVW52="T"),1)),"")</f>
        <v>45986</v>
      </c>
      <c r="H52" s="100">
        <f>COUNTIF($J52:$AVV52,"T")</f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hidden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97">
        <f>$A$2</f>
        <v>2</v>
      </c>
      <c r="G53" s="35" t="str" cm="1">
        <f t="array" ref="G53">IFERROR(INDEX($J$5:$AVW$5,_xlfn.AGGREGATE(14,6,(COLUMN($J53:$AVW53)-COLUMN($J53)+1)/($J53:$AVW53="T"),1)),"")</f>
        <v/>
      </c>
      <c r="H53" s="100">
        <f>COUNTIF($J53:$AVV53,"T")</f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hidden="1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97">
        <f>$A$2</f>
        <v>2</v>
      </c>
      <c r="G54" s="35" t="str" cm="1">
        <f t="array" ref="G54">IFERROR(INDEX($J$5:$AVW$5,_xlfn.AGGREGATE(14,6,(COLUMN($J54:$AVW54)-COLUMN($J54)+1)/($J54:$AVW54="T"),1)),"")</f>
        <v/>
      </c>
      <c r="H54" s="100">
        <f>COUNTIF($J54:$AVV54,"T")</f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hidden="1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97">
        <f>$A$2</f>
        <v>2</v>
      </c>
      <c r="G55" s="35" t="str" cm="1">
        <f t="array" ref="G55">IFERROR(INDEX($J$5:$AVW$5,_xlfn.AGGREGATE(14,6,(COLUMN($J55:$AVW55)-COLUMN($J55)+1)/($J55:$AVW55="T"),1)),"")</f>
        <v/>
      </c>
      <c r="H55" s="100">
        <f>COUNTIF($J55:$AVV55,"T")</f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hidden="1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97">
        <f>$A$2</f>
        <v>2</v>
      </c>
      <c r="G56" s="35" t="str" cm="1">
        <f t="array" ref="G56">IFERROR(INDEX($J$5:$AVW$5,_xlfn.AGGREGATE(14,6,(COLUMN($J56:$AVW56)-COLUMN($J56)+1)/($J56:$AVW56="T"),1)),"")</f>
        <v/>
      </c>
      <c r="H56" s="100">
        <f>COUNTIF($J56:$AVV56,"T")</f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hidden="1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97">
        <f>$A$2</f>
        <v>2</v>
      </c>
      <c r="G57" s="35" t="str" cm="1">
        <f t="array" ref="G57">IFERROR(INDEX($J$5:$AVW$5,_xlfn.AGGREGATE(14,6,(COLUMN($J57:$AVW57)-COLUMN($J57)+1)/($J57:$AVW57="T"),1)),"")</f>
        <v/>
      </c>
      <c r="H57" s="100">
        <f>COUNTIF($J57:$AVV57,"T")</f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hidden="1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97">
        <f>$A$2</f>
        <v>2</v>
      </c>
      <c r="G58" s="35" t="str" cm="1">
        <f t="array" ref="G58">IFERROR(INDEX($J$5:$AVW$5,_xlfn.AGGREGATE(14,6,(COLUMN($J58:$AVW58)-COLUMN($J58)+1)/($J58:$AVW58="T"),1)),"")</f>
        <v/>
      </c>
      <c r="H58" s="100">
        <f>COUNTIF($J58:$AVV58,"T")</f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hidden="1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97">
        <f>$A$2</f>
        <v>2</v>
      </c>
      <c r="G59" s="35" cm="1">
        <f t="array" ref="G59">IFERROR(INDEX($J$5:$AVW$5,_xlfn.AGGREGATE(14,6,(COLUMN($J59:$AVW59)-COLUMN($J59)+1)/($J59:$AVW59="T"),1)),"")</f>
        <v>45987</v>
      </c>
      <c r="H59" s="100">
        <f>COUNTIF($J59:$AVV59,"T")</f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hidden="1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t="str" cm="1">
        <f t="array" ref="E60">IFERROR(INDEX($J$5:$AVX$5, _xlfn.AGGREGATE(15,6, COLUMN(J60:AVX60)-COLUMN(J60)+1 / (J60:AVX60="T"), F60)), "")</f>
        <v/>
      </c>
      <c r="F60" s="97">
        <f>$A$2</f>
        <v>2</v>
      </c>
      <c r="G60" s="35" cm="1">
        <f t="array" ref="G60">IFERROR(INDEX($J$5:$AVW$5,_xlfn.AGGREGATE(14,6,(COLUMN($J60:$AVW60)-COLUMN($J60)+1)/($J60:$AVW60="T"),1)),"")</f>
        <v>45987</v>
      </c>
      <c r="H60" s="100">
        <f>COUNTIF($J60:$AVV60,"T")</f>
        <v>1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  <c r="CD60" s="33"/>
      <c r="CE60" s="33"/>
      <c r="CF60" s="33"/>
      <c r="CG60" s="33"/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hidden="1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t="str" cm="1">
        <f t="array" ref="E61">IFERROR(INDEX($J$5:$AVX$5, _xlfn.AGGREGATE(15,6, COLUMN(J61:AVX61)-COLUMN(J61)+1 / (J61:AVX61="T"), F61)), "")</f>
        <v/>
      </c>
      <c r="F61" s="97">
        <f>$A$2</f>
        <v>2</v>
      </c>
      <c r="G61" s="35" cm="1">
        <f t="array" ref="G61">IFERROR(INDEX($J$5:$AVW$5,_xlfn.AGGREGATE(14,6,(COLUMN($J61:$AVW61)-COLUMN($J61)+1)/($J61:$AVW61="T"),1)),"")</f>
        <v>45987</v>
      </c>
      <c r="H61" s="100">
        <f>COUNTIF($J61:$AVV61,"T")</f>
        <v>1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hidden="1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t="str" cm="1">
        <f t="array" ref="E62">IFERROR(INDEX($J$5:$AVX$5, _xlfn.AGGREGATE(15,6, COLUMN(J62:AVX62)-COLUMN(J62)+1 / (J62:AVX62="T"), F62)), "")</f>
        <v/>
      </c>
      <c r="F62" s="97">
        <f>$A$2</f>
        <v>2</v>
      </c>
      <c r="G62" s="35" cm="1">
        <f t="array" ref="G62">IFERROR(INDEX($J$5:$AVW$5,_xlfn.AGGREGATE(14,6,(COLUMN($J62:$AVW62)-COLUMN($J62)+1)/($J62:$AVW62="T"),1)),"")</f>
        <v>45987</v>
      </c>
      <c r="H62" s="100">
        <f>COUNTIF($J62:$AVV62,"T")</f>
        <v>1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  <c r="BX62" s="33"/>
      <c r="BY62" s="33"/>
      <c r="BZ62" s="33"/>
      <c r="CA62" s="33"/>
      <c r="CB62" s="33"/>
      <c r="CC62" s="33"/>
      <c r="CD62" s="33"/>
      <c r="CE62" s="33"/>
      <c r="CF62" s="33"/>
      <c r="CG62" s="33"/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hidden="1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t="str" cm="1">
        <f t="array" ref="E63">IFERROR(INDEX($J$5:$AVX$5, _xlfn.AGGREGATE(15,6, COLUMN(J63:AVX63)-COLUMN(J63)+1 / (J63:AVX63="T"), F63)), "")</f>
        <v/>
      </c>
      <c r="F63" s="97">
        <f>$A$2</f>
        <v>2</v>
      </c>
      <c r="G63" s="35" cm="1">
        <f t="array" ref="G63">IFERROR(INDEX($J$5:$AVW$5,_xlfn.AGGREGATE(14,6,(COLUMN($J63:$AVW63)-COLUMN($J63)+1)/($J63:$AVW63="T"),1)),"")</f>
        <v>45986</v>
      </c>
      <c r="H63" s="100">
        <f>COUNTIF($J63:$AVV63,"T")</f>
        <v>1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3"/>
      <c r="CB63" s="33"/>
      <c r="CC63" s="33"/>
      <c r="CD63" s="33"/>
      <c r="CE63" s="33"/>
      <c r="CF63" s="33"/>
      <c r="CG63" s="33"/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hidden="1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t="str" cm="1">
        <f t="array" ref="E64">IFERROR(INDEX($J$5:$AVX$5, _xlfn.AGGREGATE(15,6, COLUMN(J64:AVX64)-COLUMN(J64)+1 / (J64:AVX64="T"), F64)), "")</f>
        <v/>
      </c>
      <c r="F64" s="97">
        <f>$A$2</f>
        <v>2</v>
      </c>
      <c r="G64" s="35" cm="1">
        <f t="array" ref="G64">IFERROR(INDEX($J$5:$AVW$5,_xlfn.AGGREGATE(14,6,(COLUMN($J64:$AVW64)-COLUMN($J64)+1)/($J64:$AVW64="T"),1)),"")</f>
        <v>45986</v>
      </c>
      <c r="H64" s="100">
        <f>COUNTIF($J64:$AVV64,"T")</f>
        <v>1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  <c r="BX64" s="33"/>
      <c r="BY64" s="33"/>
      <c r="BZ64" s="33"/>
      <c r="CA64" s="33"/>
      <c r="CB64" s="33"/>
      <c r="CC64" s="33"/>
      <c r="CD64" s="33"/>
      <c r="CE64" s="33"/>
      <c r="CF64" s="33"/>
      <c r="CG64" s="33"/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hidden="1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t="str" cm="1">
        <f t="array" ref="E65">IFERROR(INDEX($J$5:$AVX$5, _xlfn.AGGREGATE(15,6, COLUMN(J65:AVX65)-COLUMN(J65)+1 / (J65:AVX65="T"), F65)), "")</f>
        <v/>
      </c>
      <c r="F65" s="97">
        <f>$A$2</f>
        <v>2</v>
      </c>
      <c r="G65" s="35" cm="1">
        <f t="array" ref="G65">IFERROR(INDEX($J$5:$AVW$5,_xlfn.AGGREGATE(14,6,(COLUMN($J65:$AVW65)-COLUMN($J65)+1)/($J65:$AVW65="T"),1)),"")</f>
        <v>45986</v>
      </c>
      <c r="H65" s="100">
        <f>COUNTIF($J65:$AVV65,"T")</f>
        <v>1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33"/>
      <c r="BK65" s="33"/>
      <c r="BL65" s="33"/>
      <c r="BM65" s="33"/>
      <c r="BN65" s="33"/>
      <c r="BO65" s="33"/>
      <c r="BP65" s="33"/>
      <c r="BQ65" s="33"/>
      <c r="BR65" s="33"/>
      <c r="BS65" s="33"/>
      <c r="BT65" s="33"/>
      <c r="BU65" s="33"/>
      <c r="BV65" s="33"/>
      <c r="BW65" s="33"/>
      <c r="BX65" s="33"/>
      <c r="BY65" s="33"/>
      <c r="BZ65" s="33"/>
      <c r="CA65" s="33"/>
      <c r="CB65" s="33"/>
      <c r="CC65" s="33"/>
      <c r="CD65" s="33"/>
      <c r="CE65" s="33"/>
      <c r="CF65" s="33"/>
      <c r="CG65" s="33"/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hidden="1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t="str" cm="1">
        <f t="array" ref="E66">IFERROR(INDEX($J$5:$AVX$5, _xlfn.AGGREGATE(15,6, COLUMN(J66:AVX66)-COLUMN(J66)+1 / (J66:AVX66="T"), F66)), "")</f>
        <v/>
      </c>
      <c r="F66" s="97">
        <f>$A$2</f>
        <v>2</v>
      </c>
      <c r="G66" s="35" cm="1">
        <f t="array" ref="G66">IFERROR(INDEX($J$5:$AVW$5,_xlfn.AGGREGATE(14,6,(COLUMN($J66:$AVW66)-COLUMN($J66)+1)/($J66:$AVW66="T"),1)),"")</f>
        <v>45986</v>
      </c>
      <c r="H66" s="100">
        <f>COUNTIF($J66:$AVV66,"T")</f>
        <v>1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33"/>
      <c r="BK66" s="33"/>
      <c r="BL66" s="33"/>
      <c r="BM66" s="33"/>
      <c r="BN66" s="33"/>
      <c r="BO66" s="33"/>
      <c r="BP66" s="33"/>
      <c r="BQ66" s="33"/>
      <c r="BR66" s="33"/>
      <c r="BS66" s="33"/>
      <c r="BT66" s="33"/>
      <c r="BU66" s="33"/>
      <c r="BV66" s="33"/>
      <c r="BW66" s="33"/>
      <c r="BX66" s="33"/>
      <c r="BY66" s="33"/>
      <c r="BZ66" s="33"/>
      <c r="CA66" s="33"/>
      <c r="CB66" s="33"/>
      <c r="CC66" s="33"/>
      <c r="CD66" s="33"/>
      <c r="CE66" s="33"/>
      <c r="CF66" s="33"/>
      <c r="CG66" s="33"/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hidden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t="str" cm="1">
        <f t="array" ref="E67">IFERROR(INDEX($J$5:$AVX$5, _xlfn.AGGREGATE(15,6, COLUMN(J67:AVX67)-COLUMN(J67)+1 / (J67:AVX67="T"), F67)), "")</f>
        <v/>
      </c>
      <c r="F67" s="97">
        <f>$A$2</f>
        <v>2</v>
      </c>
      <c r="G67" s="35" cm="1">
        <f t="array" ref="G67">IFERROR(INDEX($J$5:$AVW$5,_xlfn.AGGREGATE(14,6,(COLUMN($J67:$AVW67)-COLUMN($J67)+1)/($J67:$AVW67="T"),1)),"")</f>
        <v>45968</v>
      </c>
      <c r="H67" s="100">
        <f>COUNTIF($J67:$AVV67,"T")</f>
        <v>1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3"/>
      <c r="BA67" s="33"/>
      <c r="BB67" s="33"/>
      <c r="BC67" s="33"/>
      <c r="BD67" s="33"/>
      <c r="BE67" s="33"/>
      <c r="BF67" s="33"/>
      <c r="BG67" s="33"/>
      <c r="BH67" s="33"/>
      <c r="BI67" s="33"/>
      <c r="BJ67" s="33"/>
      <c r="BK67" s="33"/>
      <c r="BL67" s="33"/>
      <c r="BM67" s="33"/>
      <c r="BN67" s="33"/>
      <c r="BO67" s="33"/>
      <c r="BP67" s="33"/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hidden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t="str" cm="1">
        <f t="array" ref="E68">IFERROR(INDEX($J$5:$AVX$5, _xlfn.AGGREGATE(15,6, COLUMN(J68:AVX68)-COLUMN(J68)+1 / (J68:AVX68="T"), F68)), "")</f>
        <v/>
      </c>
      <c r="F68" s="97">
        <f>$A$2</f>
        <v>2</v>
      </c>
      <c r="G68" s="35" cm="1">
        <f t="array" ref="G68">IFERROR(INDEX($J$5:$AVW$5,_xlfn.AGGREGATE(14,6,(COLUMN($J68:$AVW68)-COLUMN($J68)+1)/($J68:$AVW68="T"),1)),"")</f>
        <v>45968</v>
      </c>
      <c r="H68" s="100">
        <f>COUNTIF($J68:$AVV68,"T")</f>
        <v>1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3"/>
      <c r="BA68" s="33"/>
      <c r="BB68" s="33"/>
      <c r="BC68" s="33"/>
      <c r="BD68" s="33"/>
      <c r="BE68" s="33"/>
      <c r="BF68" s="33"/>
      <c r="BG68" s="33"/>
      <c r="BH68" s="33"/>
      <c r="BI68" s="33"/>
      <c r="BJ68" s="33"/>
      <c r="BK68" s="33"/>
      <c r="BL68" s="33"/>
      <c r="BM68" s="33"/>
      <c r="BN68" s="33"/>
      <c r="BO68" s="33"/>
      <c r="BP68" s="33"/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hidden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t="str" cm="1">
        <f t="array" ref="E69">IFERROR(INDEX($J$5:$AVX$5, _xlfn.AGGREGATE(15,6, COLUMN(J69:AVX69)-COLUMN(J69)+1 / (J69:AVX69="T"), F69)), "")</f>
        <v/>
      </c>
      <c r="F69" s="97">
        <f>$A$2</f>
        <v>2</v>
      </c>
      <c r="G69" s="35" cm="1">
        <f t="array" ref="G69">IFERROR(INDEX($J$5:$AVW$5,_xlfn.AGGREGATE(14,6,(COLUMN($J69:$AVW69)-COLUMN($J69)+1)/($J69:$AVW69="T"),1)),"")</f>
        <v>45966</v>
      </c>
      <c r="H69" s="100">
        <f>COUNTIF($J69:$AVV69,"T")</f>
        <v>1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3"/>
      <c r="BA69" s="33"/>
      <c r="BB69" s="33"/>
      <c r="BC69" s="33"/>
      <c r="BD69" s="33"/>
      <c r="BE69" s="33"/>
      <c r="BF69" s="33"/>
      <c r="BG69" s="33"/>
      <c r="BH69" s="33"/>
      <c r="BI69" s="33"/>
      <c r="BJ69" s="33"/>
      <c r="BK69" s="33"/>
      <c r="BL69" s="33"/>
      <c r="BM69" s="33"/>
      <c r="BN69" s="33"/>
      <c r="BO69" s="33"/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hidden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t="str" cm="1">
        <f t="array" ref="E70">IFERROR(INDEX($J$5:$AVX$5, _xlfn.AGGREGATE(15,6, COLUMN(J70:AVX70)-COLUMN(J70)+1 / (J70:AVX70="T"), F70)), "")</f>
        <v/>
      </c>
      <c r="F70" s="97">
        <f>$A$2</f>
        <v>2</v>
      </c>
      <c r="G70" s="35" cm="1">
        <f t="array" ref="G70">IFERROR(INDEX($J$5:$AVW$5,_xlfn.AGGREGATE(14,6,(COLUMN($J70:$AVW70)-COLUMN($J70)+1)/($J70:$AVW70="T"),1)),"")</f>
        <v>45966</v>
      </c>
      <c r="H70" s="100">
        <f>COUNTIF($J70:$AVV70,"T")</f>
        <v>1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3"/>
      <c r="BA70" s="33"/>
      <c r="BB70" s="33"/>
      <c r="BC70" s="33"/>
      <c r="BD70" s="33"/>
      <c r="BE70" s="33"/>
      <c r="BF70" s="33"/>
      <c r="BG70" s="33"/>
      <c r="BH70" s="33"/>
      <c r="BI70" s="33"/>
      <c r="BJ70" s="33"/>
      <c r="BK70" s="33"/>
      <c r="BL70" s="33"/>
      <c r="BM70" s="33"/>
      <c r="BN70" s="33"/>
      <c r="BO70" s="33"/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hidden="1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t="str" cm="1">
        <f t="array" ref="E71">IFERROR(INDEX($J$5:$AVX$5, _xlfn.AGGREGATE(15,6, COLUMN(J71:AVX71)-COLUMN(J71)+1 / (J71:AVX71="T"), F71)), "")</f>
        <v/>
      </c>
      <c r="F71" s="97">
        <f>$A$2</f>
        <v>2</v>
      </c>
      <c r="G71" s="35" cm="1">
        <f t="array" ref="G71">IFERROR(INDEX($J$5:$AVW$5,_xlfn.AGGREGATE(14,6,(COLUMN($J71:$AVW71)-COLUMN($J71)+1)/($J71:$AVW71="T"),1)),"")</f>
        <v>45966</v>
      </c>
      <c r="H71" s="100">
        <f>COUNTIF($J71:$AVV71,"T")</f>
        <v>1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3"/>
      <c r="BA71" s="33"/>
      <c r="BB71" s="33"/>
      <c r="BC71" s="33"/>
      <c r="BD71" s="33"/>
      <c r="BE71" s="33"/>
      <c r="BF71" s="33"/>
      <c r="BG71" s="33"/>
      <c r="BH71" s="33"/>
      <c r="BI71" s="33"/>
      <c r="BJ71" s="33"/>
      <c r="BK71" s="33"/>
      <c r="BL71" s="33"/>
      <c r="BM71" s="33"/>
      <c r="BN71" s="33"/>
      <c r="BO71" s="33"/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hidden="1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t="str" cm="1">
        <f t="array" ref="E72">IFERROR(INDEX($J$5:$AVX$5, _xlfn.AGGREGATE(15,6, COLUMN(J72:AVX72)-COLUMN(J72)+1 / (J72:AVX72="T"), F72)), "")</f>
        <v/>
      </c>
      <c r="F72" s="97">
        <f>$A$2</f>
        <v>2</v>
      </c>
      <c r="G72" s="35" cm="1">
        <f t="array" ref="G72">IFERROR(INDEX($J$5:$AVW$5,_xlfn.AGGREGATE(14,6,(COLUMN($J72:$AVW72)-COLUMN($J72)+1)/($J72:$AVW72="T"),1)),"")</f>
        <v>45966</v>
      </c>
      <c r="H72" s="100">
        <f>COUNTIF($J72:$AVV72,"T")</f>
        <v>1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3"/>
      <c r="BA72" s="33"/>
      <c r="BB72" s="33"/>
      <c r="BC72" s="33"/>
      <c r="BD72" s="33"/>
      <c r="BE72" s="33"/>
      <c r="BF72" s="33"/>
      <c r="BG72" s="33"/>
      <c r="BH72" s="33"/>
      <c r="BI72" s="33"/>
      <c r="BJ72" s="33"/>
      <c r="BK72" s="33"/>
      <c r="BL72" s="33"/>
      <c r="BM72" s="33"/>
      <c r="BN72" s="33"/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hidden="1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t="str" cm="1">
        <f t="array" ref="E73">IFERROR(INDEX($J$5:$AVX$5, _xlfn.AGGREGATE(15,6, COLUMN(J73:AVX73)-COLUMN(J73)+1 / (J73:AVX73="T"), F73)), "")</f>
        <v/>
      </c>
      <c r="F73" s="97">
        <f>$A$2</f>
        <v>2</v>
      </c>
      <c r="G73" s="35" cm="1">
        <f t="array" ref="G73">IFERROR(INDEX($J$5:$AVW$5,_xlfn.AGGREGATE(14,6,(COLUMN($J73:$AVW73)-COLUMN($J73)+1)/($J73:$AVW73="T"),1)),"")</f>
        <v>45966</v>
      </c>
      <c r="H73" s="100">
        <f>COUNTIF($J73:$AVV73,"T")</f>
        <v>1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3"/>
      <c r="BA73" s="33"/>
      <c r="BB73" s="33"/>
      <c r="BC73" s="33"/>
      <c r="BD73" s="33"/>
      <c r="BE73" s="33"/>
      <c r="BF73" s="33"/>
      <c r="BG73" s="33"/>
      <c r="BH73" s="33"/>
      <c r="BI73" s="33"/>
      <c r="BJ73" s="33"/>
      <c r="BK73" s="33"/>
      <c r="BL73" s="33"/>
      <c r="BM73" s="33"/>
      <c r="BN73" s="33"/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hidden="1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t="str" cm="1">
        <f t="array" ref="E74">IFERROR(INDEX($J$5:$AVX$5, _xlfn.AGGREGATE(15,6, COLUMN(J74:AVX74)-COLUMN(J74)+1 / (J74:AVX74="T"), F74)), "")</f>
        <v/>
      </c>
      <c r="F74" s="97">
        <f>$A$2</f>
        <v>2</v>
      </c>
      <c r="G74" s="35" cm="1">
        <f t="array" ref="G74">IFERROR(INDEX($J$5:$AVW$5,_xlfn.AGGREGATE(14,6,(COLUMN($J74:$AVW74)-COLUMN($J74)+1)/($J74:$AVW74="T"),1)),"")</f>
        <v>45966</v>
      </c>
      <c r="H74" s="100">
        <f>COUNTIF($J74:$AVV74,"T")</f>
        <v>1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3"/>
      <c r="BA74" s="33"/>
      <c r="BB74" s="33"/>
      <c r="BC74" s="33"/>
      <c r="BD74" s="33"/>
      <c r="BE74" s="33"/>
      <c r="BF74" s="33"/>
      <c r="BG74" s="33"/>
      <c r="BH74" s="33"/>
      <c r="BI74" s="33"/>
      <c r="BJ74" s="33"/>
      <c r="BK74" s="33"/>
      <c r="BL74" s="33"/>
      <c r="BM74" s="33"/>
      <c r="BN74" s="33"/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hidden="1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t="str" cm="1">
        <f t="array" ref="E75">IFERROR(INDEX($J$5:$AVX$5, _xlfn.AGGREGATE(15,6, COLUMN(J75:AVX75)-COLUMN(J75)+1 / (J75:AVX75="T"), F75)), "")</f>
        <v/>
      </c>
      <c r="F75" s="97">
        <f>$A$2</f>
        <v>2</v>
      </c>
      <c r="G75" s="35" cm="1">
        <f t="array" ref="G75">IFERROR(INDEX($J$5:$AVW$5,_xlfn.AGGREGATE(14,6,(COLUMN($J75:$AVW75)-COLUMN($J75)+1)/($J75:$AVW75="T"),1)),"")</f>
        <v>45966</v>
      </c>
      <c r="H75" s="100">
        <f>COUNTIF($J75:$AVV75,"T")</f>
        <v>1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3"/>
      <c r="BA75" s="33"/>
      <c r="BB75" s="33"/>
      <c r="BC75" s="33"/>
      <c r="BD75" s="33"/>
      <c r="BE75" s="33"/>
      <c r="BF75" s="33"/>
      <c r="BG75" s="33"/>
      <c r="BH75" s="33"/>
      <c r="BI75" s="33"/>
      <c r="BJ75" s="33"/>
      <c r="BK75" s="33"/>
      <c r="BL75" s="33"/>
      <c r="BM75" s="33"/>
      <c r="BN75" s="33"/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97">
        <f>$A$2</f>
        <v>2</v>
      </c>
      <c r="G76" s="35" cm="1">
        <f t="array" ref="G76">IFERROR(INDEX($J$5:$AVW$5,_xlfn.AGGREGATE(14,6,(COLUMN($J76:$AVW76)-COLUMN($J76)+1)/($J76:$AVW76="T"),1)),"")</f>
        <v>45994</v>
      </c>
      <c r="H76" s="100">
        <f>COUNTIF($J76:$AVV76,"T")</f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97">
        <f>$A$2</f>
        <v>2</v>
      </c>
      <c r="G77" s="35" cm="1">
        <f t="array" ref="G77">IFERROR(INDEX($J$5:$AVW$5,_xlfn.AGGREGATE(14,6,(COLUMN($J77:$AVW77)-COLUMN($J77)+1)/($J77:$AVW77="T"),1)),"")</f>
        <v>45994</v>
      </c>
      <c r="H77" s="100">
        <f>COUNTIF($J77:$AVV77,"T")</f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97">
        <f>$A$2</f>
        <v>2</v>
      </c>
      <c r="G78" s="35" cm="1">
        <f t="array" ref="G78">IFERROR(INDEX($J$5:$AVW$5,_xlfn.AGGREGATE(14,6,(COLUMN($J78:$AVW78)-COLUMN($J78)+1)/($J78:$AVW78="T"),1)),"")</f>
        <v>45994</v>
      </c>
      <c r="H78" s="100">
        <f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hidden="1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97">
        <f>$A$2</f>
        <v>2</v>
      </c>
      <c r="G79" s="35" cm="1">
        <f t="array" ref="G79">IFERROR(INDEX($J$5:$AVW$5,_xlfn.AGGREGATE(14,6,(COLUMN($J79:$AVW79)-COLUMN($J79)+1)/($J79:$AVW79="T"),1)),"")</f>
        <v>45992</v>
      </c>
      <c r="H79" s="100">
        <f>COUNTIF($J79:$AVV79,"T")</f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hidden="1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97">
        <f>$A$2</f>
        <v>2</v>
      </c>
      <c r="G80" s="35" cm="1">
        <f t="array" ref="G80">IFERROR(INDEX($J$5:$AVW$5,_xlfn.AGGREGATE(14,6,(COLUMN($J80:$AVW80)-COLUMN($J80)+1)/($J80:$AVW80="T"),1)),"")</f>
        <v>45992</v>
      </c>
      <c r="H80" s="100">
        <f>COUNTIF($J80:$AVV80,"T")</f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hidden="1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97">
        <f>$A$2</f>
        <v>2</v>
      </c>
      <c r="G81" s="35" cm="1">
        <f t="array" ref="G81">IFERROR(INDEX($J$5:$AVW$5,_xlfn.AGGREGATE(14,6,(COLUMN($J81:$AVW81)-COLUMN($J81)+1)/($J81:$AVW81="T"),1)),"")</f>
        <v>45992</v>
      </c>
      <c r="H81" s="100">
        <f>COUNTIF($J81:$AVV81,"T")</f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hidden="1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97">
        <f>$A$2</f>
        <v>2</v>
      </c>
      <c r="G82" s="35" cm="1">
        <f t="array" ref="G82">IFERROR(INDEX($J$5:$AVW$5,_xlfn.AGGREGATE(14,6,(COLUMN($J82:$AVW82)-COLUMN($J82)+1)/($J82:$AVW82="T"),1)),"")</f>
        <v>45992</v>
      </c>
      <c r="H82" s="100">
        <f>COUNTIF($J82:$AVV82,"T")</f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hidden="1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t="str" cm="1">
        <f t="array" ref="E83">IFERROR(INDEX($J$5:$AVX$5, _xlfn.AGGREGATE(15,6, COLUMN(J83:AVX83)-COLUMN(J83)+1 / (J83:AVX83="T"), F83)), "")</f>
        <v/>
      </c>
      <c r="F83" s="97">
        <f>$A$2</f>
        <v>2</v>
      </c>
      <c r="G83" s="35" cm="1">
        <f t="array" ref="G83">IFERROR(INDEX($J$5:$AVW$5,_xlfn.AGGREGATE(14,6,(COLUMN($J83:$AVW83)-COLUMN($J83)+1)/($J83:$AVW83="T"),1)),"")</f>
        <v>45988</v>
      </c>
      <c r="H83" s="100">
        <f>COUNTIF($J83:$AVV83,"T")</f>
        <v>1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  <c r="CD83" s="33"/>
      <c r="CE83" s="33"/>
      <c r="CF83" s="33"/>
      <c r="CG83" s="33"/>
      <c r="CH83" s="33"/>
      <c r="CI83" s="33"/>
      <c r="CJ83" s="33"/>
      <c r="CK83" s="33"/>
      <c r="CL83" s="33"/>
      <c r="CM83" s="33"/>
      <c r="CN83" s="33"/>
      <c r="CO83" s="33"/>
      <c r="CP83" s="33"/>
    </row>
    <row r="84" spans="1:94" hidden="1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t="str" cm="1">
        <f t="array" ref="E84">IFERROR(INDEX($J$5:$AVX$5, _xlfn.AGGREGATE(15,6, COLUMN(J84:AVX84)-COLUMN(J84)+1 / (J84:AVX84="T"), F84)), "")</f>
        <v/>
      </c>
      <c r="F84" s="97">
        <f>$A$2</f>
        <v>2</v>
      </c>
      <c r="G84" s="35" cm="1">
        <f t="array" ref="G84">IFERROR(INDEX($J$5:$AVW$5,_xlfn.AGGREGATE(14,6,(COLUMN($J84:$AVW84)-COLUMN($J84)+1)/($J84:$AVW84="T"),1)),"")</f>
        <v>45988</v>
      </c>
      <c r="H84" s="100">
        <f>COUNTIF($J84:$AVV84,"T")</f>
        <v>1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33"/>
      <c r="BM84" s="33"/>
      <c r="BN84" s="33"/>
      <c r="BO84" s="33"/>
      <c r="BP84" s="33"/>
      <c r="BQ84" s="33"/>
      <c r="BR84" s="33"/>
      <c r="BS84" s="33"/>
      <c r="BT84" s="33"/>
      <c r="BU84" s="33"/>
      <c r="BV84" s="33"/>
      <c r="BW84" s="33"/>
      <c r="BX84" s="33"/>
      <c r="BY84" s="33"/>
      <c r="BZ84" s="33"/>
      <c r="CA84" s="33"/>
      <c r="CB84" s="33"/>
      <c r="CC84" s="33"/>
      <c r="CD84" s="33"/>
      <c r="CE84" s="33"/>
      <c r="CF84" s="33"/>
      <c r="CG84" s="33"/>
      <c r="CH84" s="33"/>
      <c r="CI84" s="33"/>
      <c r="CJ84" s="33"/>
      <c r="CK84" s="33"/>
      <c r="CL84" s="33"/>
      <c r="CM84" s="33"/>
      <c r="CN84" s="33"/>
      <c r="CO84" s="33"/>
      <c r="CP84" s="33"/>
    </row>
    <row r="85" spans="1:94" ht="15" hidden="1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t="str" cm="1">
        <f t="array" ref="E85">IFERROR(INDEX($J$5:$AVX$5, _xlfn.AGGREGATE(15,6, COLUMN(J85:AVX85)-COLUMN(J85)+1 / (J85:AVX85="T"), F85)), "")</f>
        <v/>
      </c>
      <c r="F85" s="97">
        <f>$A$2</f>
        <v>2</v>
      </c>
      <c r="G85" s="35" cm="1">
        <f t="array" ref="G85">IFERROR(INDEX($J$5:$AVW$5,_xlfn.AGGREGATE(14,6,(COLUMN($J85:$AVW85)-COLUMN($J85)+1)/($J85:$AVW85="T"),1)),"")</f>
        <v>45988</v>
      </c>
      <c r="H85" s="100">
        <f>COUNTIF($J85:$AVV85,"T")</f>
        <v>1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  <c r="CD85" s="33"/>
      <c r="CE85" s="33"/>
      <c r="CF85" s="33"/>
      <c r="CG85" s="33"/>
      <c r="CH85" s="33"/>
      <c r="CI85" s="33"/>
      <c r="CJ85" s="33"/>
      <c r="CK85" s="33"/>
      <c r="CL85" s="33"/>
      <c r="CM85" s="33"/>
      <c r="CN85" s="33"/>
      <c r="CO85" s="33"/>
      <c r="CP85" s="33"/>
    </row>
    <row r="86" spans="1:94" hidden="1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t="str" cm="1">
        <f t="array" ref="E86">IFERROR(INDEX($J$5:$AVX$5, _xlfn.AGGREGATE(15,6, COLUMN(J86:AVX86)-COLUMN(J86)+1 / (J86:AVX86="T"), F86)), "")</f>
        <v/>
      </c>
      <c r="F86" s="97">
        <f>$A$2</f>
        <v>2</v>
      </c>
      <c r="G86" s="35" cm="1">
        <f t="array" ref="G86">IFERROR(INDEX($J$5:$AVW$5,_xlfn.AGGREGATE(14,6,(COLUMN($J86:$AVW86)-COLUMN($J86)+1)/($J86:$AVW86="T"),1)),"")</f>
        <v>45987</v>
      </c>
      <c r="H86" s="100">
        <f>COUNTIF($J86:$AVV86,"T")</f>
        <v>1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33"/>
      <c r="BM86" s="33"/>
      <c r="BN86" s="33"/>
      <c r="BO86" s="33"/>
      <c r="BP86" s="33"/>
      <c r="BQ86" s="33"/>
      <c r="BR86" s="33"/>
      <c r="BS86" s="33"/>
      <c r="BT86" s="33"/>
      <c r="BU86" s="33"/>
      <c r="BV86" s="33"/>
      <c r="BW86" s="33"/>
      <c r="BX86" s="33"/>
      <c r="BY86" s="33"/>
      <c r="BZ86" s="33"/>
      <c r="CA86" s="33"/>
      <c r="CB86" s="33"/>
      <c r="CC86" s="33"/>
      <c r="CD86" s="33"/>
      <c r="CE86" s="33"/>
      <c r="CF86" s="33"/>
      <c r="CG86" s="33"/>
      <c r="CH86" s="33"/>
      <c r="CI86" s="33"/>
      <c r="CJ86" s="33"/>
      <c r="CK86" s="33"/>
      <c r="CL86" s="33"/>
      <c r="CM86" s="33"/>
      <c r="CN86" s="33"/>
      <c r="CO86" s="33"/>
      <c r="CP86" s="33"/>
    </row>
    <row r="87" spans="1:94" ht="15" hidden="1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t="str" cm="1">
        <f t="array" ref="E87">IFERROR(INDEX($J$5:$AVX$5, _xlfn.AGGREGATE(15,6, COLUMN(J87:AVX87)-COLUMN(J87)+1 / (J87:AVX87="T"), F87)), "")</f>
        <v/>
      </c>
      <c r="F87" s="97">
        <f>$A$2</f>
        <v>2</v>
      </c>
      <c r="G87" s="35" cm="1">
        <f t="array" ref="G87">IFERROR(INDEX($J$5:$AVW$5,_xlfn.AGGREGATE(14,6,(COLUMN($J87:$AVW87)-COLUMN($J87)+1)/($J87:$AVW87="T"),1)),"")</f>
        <v>45987</v>
      </c>
      <c r="H87" s="100">
        <f>COUNTIF($J87:$AVV87,"T")</f>
        <v>1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  <c r="CD87" s="33"/>
      <c r="CE87" s="33"/>
      <c r="CF87" s="33"/>
      <c r="CG87" s="33"/>
      <c r="CH87" s="33"/>
      <c r="CI87" s="33"/>
      <c r="CJ87" s="33"/>
      <c r="CK87" s="33"/>
      <c r="CL87" s="33"/>
      <c r="CM87" s="33"/>
      <c r="CN87" s="33"/>
      <c r="CO87" s="33"/>
      <c r="CP87" s="33"/>
    </row>
    <row r="88" spans="1:94" hidden="1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t="str" cm="1">
        <f t="array" ref="E88">IFERROR(INDEX($J$5:$AVX$5, _xlfn.AGGREGATE(15,6, COLUMN(J88:AVX88)-COLUMN(J88)+1 / (J88:AVX88="T"), F88)), "")</f>
        <v/>
      </c>
      <c r="F88" s="97">
        <f>$A$2</f>
        <v>2</v>
      </c>
      <c r="G88" s="35" cm="1">
        <f t="array" ref="G88">IFERROR(INDEX($J$5:$AVW$5,_xlfn.AGGREGATE(14,6,(COLUMN($J88:$AVW88)-COLUMN($J88)+1)/($J88:$AVW88="T"),1)),"")</f>
        <v>45987</v>
      </c>
      <c r="H88" s="100">
        <f>COUNTIF($J88:$AVV88,"T")</f>
        <v>1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33"/>
      <c r="BM88" s="33"/>
      <c r="BN88" s="33"/>
      <c r="BO88" s="33"/>
      <c r="BP88" s="33"/>
      <c r="BQ88" s="33"/>
      <c r="BR88" s="33"/>
      <c r="BS88" s="33"/>
      <c r="BT88" s="33"/>
      <c r="BU88" s="33"/>
      <c r="BV88" s="33"/>
      <c r="BW88" s="33"/>
      <c r="BX88" s="33"/>
      <c r="BY88" s="33"/>
      <c r="BZ88" s="33"/>
      <c r="CA88" s="33"/>
      <c r="CB88" s="33"/>
      <c r="CC88" s="33"/>
      <c r="CD88" s="33"/>
      <c r="CE88" s="33"/>
      <c r="CF88" s="33"/>
      <c r="CG88" s="33"/>
      <c r="CH88" s="33"/>
      <c r="CI88" s="33"/>
      <c r="CJ88" s="33"/>
      <c r="CK88" s="33"/>
      <c r="CL88" s="33"/>
      <c r="CM88" s="33"/>
      <c r="CN88" s="33"/>
      <c r="CO88" s="33"/>
      <c r="CP88" s="33"/>
    </row>
    <row r="89" spans="1:94" hidden="1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t="str" cm="1">
        <f t="array" ref="E89">IFERROR(INDEX($J$5:$AVX$5, _xlfn.AGGREGATE(15,6, COLUMN(J89:AVX89)-COLUMN(J89)+1 / (J89:AVX89="T"), F89)), "")</f>
        <v/>
      </c>
      <c r="F89" s="97">
        <f>$A$2</f>
        <v>2</v>
      </c>
      <c r="G89" s="35" cm="1">
        <f t="array" ref="G89">IFERROR(INDEX($J$5:$AVW$5,_xlfn.AGGREGATE(14,6,(COLUMN($J89:$AVW89)-COLUMN($J89)+1)/($J89:$AVW89="T"),1)),"")</f>
        <v>45987</v>
      </c>
      <c r="H89" s="100">
        <f>COUNTIF($J89:$AVV89,"T")</f>
        <v>1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  <c r="CD89" s="33"/>
      <c r="CE89" s="33"/>
      <c r="CF89" s="33"/>
      <c r="CG89" s="33"/>
      <c r="CH89" s="33"/>
      <c r="CI89" s="33"/>
      <c r="CJ89" s="33"/>
      <c r="CK89" s="33"/>
      <c r="CL89" s="33"/>
      <c r="CM89" s="33"/>
      <c r="CN89" s="33"/>
      <c r="CO89" s="33"/>
      <c r="CP89" s="33"/>
    </row>
    <row r="90" spans="1:94" hidden="1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t="str" cm="1">
        <f t="array" ref="E90">IFERROR(INDEX($J$5:$AVX$5, _xlfn.AGGREGATE(15,6, COLUMN(J90:AVX90)-COLUMN(J90)+1 / (J90:AVX90="T"), F90)), "")</f>
        <v/>
      </c>
      <c r="F90" s="97">
        <f>$A$2</f>
        <v>2</v>
      </c>
      <c r="G90" s="35" cm="1">
        <f t="array" ref="G90">IFERROR(INDEX($J$5:$AVW$5,_xlfn.AGGREGATE(14,6,(COLUMN($J90:$AVW90)-COLUMN($J90)+1)/($J90:$AVW90="T"),1)),"")</f>
        <v>45980</v>
      </c>
      <c r="H90" s="100">
        <f>COUNTIF($J90:$AVV90,"T")</f>
        <v>1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33"/>
      <c r="BL90" s="33"/>
      <c r="BM90" s="33"/>
      <c r="BN90" s="33"/>
      <c r="BO90" s="33"/>
      <c r="BP90" s="33"/>
      <c r="BQ90" s="33"/>
      <c r="BR90" s="33"/>
      <c r="BS90" s="33"/>
      <c r="BT90" s="33"/>
      <c r="BU90" s="33"/>
      <c r="BV90" s="33"/>
      <c r="BW90" s="33"/>
      <c r="BX90" s="33"/>
      <c r="BY90" s="33"/>
      <c r="BZ90" s="33"/>
      <c r="CA90" s="33"/>
      <c r="CB90" s="33"/>
      <c r="CC90" s="33"/>
      <c r="CD90" s="33"/>
      <c r="CE90" s="33"/>
      <c r="CF90" s="33"/>
      <c r="CG90" s="33"/>
      <c r="CH90" s="33"/>
      <c r="CI90" s="33"/>
      <c r="CJ90" s="33"/>
      <c r="CK90" s="33"/>
      <c r="CL90" s="33"/>
      <c r="CM90" s="33"/>
      <c r="CN90" s="33"/>
      <c r="CO90" s="33"/>
      <c r="CP90" s="33"/>
    </row>
    <row r="91" spans="1:94" hidden="1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t="str" cm="1">
        <f t="array" ref="E91">IFERROR(INDEX($J$5:$AVX$5, _xlfn.AGGREGATE(15,6, COLUMN(J91:AVX91)-COLUMN(J91)+1 / (J91:AVX91="T"), F91)), "")</f>
        <v/>
      </c>
      <c r="F91" s="97">
        <f>$A$2</f>
        <v>2</v>
      </c>
      <c r="G91" s="35" cm="1">
        <f t="array" ref="G91">IFERROR(INDEX($J$5:$AVW$5,_xlfn.AGGREGATE(14,6,(COLUMN($J91:$AVW91)-COLUMN($J91)+1)/($J91:$AVW91="T"),1)),"")</f>
        <v>45980</v>
      </c>
      <c r="H91" s="100">
        <f>COUNTIF($J91:$AVV91,"T")</f>
        <v>1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  <c r="CD91" s="33"/>
      <c r="CE91" s="33"/>
      <c r="CF91" s="33"/>
      <c r="CG91" s="33"/>
      <c r="CH91" s="33"/>
      <c r="CI91" s="33"/>
      <c r="CJ91" s="33"/>
      <c r="CK91" s="33"/>
      <c r="CL91" s="33"/>
      <c r="CM91" s="33"/>
      <c r="CN91" s="33"/>
      <c r="CO91" s="33"/>
      <c r="CP91" s="33"/>
    </row>
    <row r="92" spans="1:94" hidden="1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t="str" cm="1">
        <f t="array" ref="E92">IFERROR(INDEX($J$5:$AVX$5, _xlfn.AGGREGATE(15,6, COLUMN(J92:AVX92)-COLUMN(J92)+1 / (J92:AVX92="T"), F92)), "")</f>
        <v/>
      </c>
      <c r="F92" s="97">
        <f>$A$2</f>
        <v>2</v>
      </c>
      <c r="G92" s="35" cm="1">
        <f t="array" ref="G92">IFERROR(INDEX($J$5:$AVW$5,_xlfn.AGGREGATE(14,6,(COLUMN($J92:$AVW92)-COLUMN($J92)+1)/($J92:$AVW92="T"),1)),"")</f>
        <v>45980</v>
      </c>
      <c r="H92" s="100">
        <f>COUNTIF($J92:$AVV92,"T")</f>
        <v>1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33"/>
      <c r="BL92" s="33"/>
      <c r="BM92" s="33"/>
      <c r="BN92" s="33"/>
      <c r="BO92" s="33"/>
      <c r="BP92" s="33"/>
      <c r="BQ92" s="33"/>
      <c r="BR92" s="33"/>
      <c r="BS92" s="33"/>
      <c r="BT92" s="33"/>
      <c r="BU92" s="33"/>
      <c r="BV92" s="33"/>
      <c r="BW92" s="33"/>
      <c r="BX92" s="33"/>
      <c r="BY92" s="33"/>
      <c r="BZ92" s="33"/>
      <c r="CA92" s="33"/>
      <c r="CB92" s="33"/>
      <c r="CC92" s="33"/>
      <c r="CD92" s="33"/>
      <c r="CE92" s="33"/>
      <c r="CF92" s="33"/>
      <c r="CG92" s="33"/>
      <c r="CH92" s="33"/>
      <c r="CI92" s="33"/>
      <c r="CJ92" s="33"/>
      <c r="CK92" s="33"/>
      <c r="CL92" s="33"/>
      <c r="CM92" s="33"/>
      <c r="CN92" s="33"/>
      <c r="CO92" s="33"/>
      <c r="CP92" s="33"/>
    </row>
    <row r="93" spans="1:94" hidden="1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t="str" cm="1">
        <f t="array" ref="E93">IFERROR(INDEX($J$5:$AVX$5, _xlfn.AGGREGATE(15,6, COLUMN(J93:AVX93)-COLUMN(J93)+1 / (J93:AVX93="T"), F93)), "")</f>
        <v/>
      </c>
      <c r="F93" s="97">
        <f>$A$2</f>
        <v>2</v>
      </c>
      <c r="G93" s="35" cm="1">
        <f t="array" ref="G93">IFERROR(INDEX($J$5:$AVW$5,_xlfn.AGGREGATE(14,6,(COLUMN($J93:$AVW93)-COLUMN($J93)+1)/($J93:$AVW93="T"),1)),"")</f>
        <v>45980</v>
      </c>
      <c r="H93" s="100">
        <f>COUNTIF($J93:$AVV93,"T")</f>
        <v>1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  <c r="CD93" s="33"/>
      <c r="CE93" s="33"/>
      <c r="CF93" s="33"/>
      <c r="CG93" s="33"/>
      <c r="CH93" s="33"/>
      <c r="CI93" s="33"/>
      <c r="CJ93" s="33"/>
      <c r="CK93" s="33"/>
      <c r="CL93" s="33"/>
      <c r="CM93" s="33"/>
      <c r="CN93" s="33"/>
      <c r="CO93" s="33"/>
      <c r="CP93" s="33"/>
    </row>
    <row r="94" spans="1:94" hidden="1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t="str" cm="1">
        <f t="array" ref="E94">IFERROR(INDEX($J$5:$AVX$5, _xlfn.AGGREGATE(15,6, COLUMN(J94:AVX94)-COLUMN(J94)+1 / (J94:AVX94="T"), F94)), "")</f>
        <v/>
      </c>
      <c r="F94" s="97">
        <f>$A$2</f>
        <v>2</v>
      </c>
      <c r="G94" s="35" cm="1">
        <f t="array" ref="G94">IFERROR(INDEX($J$5:$AVW$5,_xlfn.AGGREGATE(14,6,(COLUMN($J94:$AVW94)-COLUMN($J94)+1)/($J94:$AVW94="T"),1)),"")</f>
        <v>45980</v>
      </c>
      <c r="H94" s="100">
        <f>COUNTIF($J94:$AVV94,"T")</f>
        <v>1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33"/>
      <c r="BL94" s="33"/>
      <c r="BM94" s="33"/>
      <c r="BN94" s="33"/>
      <c r="BO94" s="33"/>
      <c r="BP94" s="33"/>
      <c r="BQ94" s="33"/>
      <c r="BR94" s="33"/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  <c r="CD94" s="33"/>
      <c r="CE94" s="33"/>
      <c r="CF94" s="33"/>
      <c r="CG94" s="33"/>
      <c r="CH94" s="33"/>
      <c r="CI94" s="33"/>
      <c r="CJ94" s="33"/>
      <c r="CK94" s="33"/>
      <c r="CL94" s="33"/>
      <c r="CM94" s="33"/>
      <c r="CN94" s="33"/>
      <c r="CO94" s="33"/>
      <c r="CP94" s="33"/>
    </row>
    <row r="95" spans="1:94" hidden="1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t="str" cm="1">
        <f t="array" ref="E95">IFERROR(INDEX($J$5:$AVX$5, _xlfn.AGGREGATE(15,6, COLUMN(J95:AVX95)-COLUMN(J95)+1 / (J95:AVX95="T"), F95)), "")</f>
        <v/>
      </c>
      <c r="F95" s="97">
        <f>$A$2</f>
        <v>2</v>
      </c>
      <c r="G95" s="35" cm="1">
        <f t="array" ref="G95">IFERROR(INDEX($J$5:$AVW$5,_xlfn.AGGREGATE(14,6,(COLUMN($J95:$AVW95)-COLUMN($J95)+1)/($J95:$AVW95="T"),1)),"")</f>
        <v>45980</v>
      </c>
      <c r="H95" s="100">
        <f>COUNTIF($J95:$AVV95,"T")</f>
        <v>1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  <c r="CD95" s="33"/>
      <c r="CE95" s="33"/>
      <c r="CF95" s="33"/>
      <c r="CG95" s="33"/>
      <c r="CH95" s="33"/>
      <c r="CI95" s="33"/>
      <c r="CJ95" s="33"/>
      <c r="CK95" s="33"/>
      <c r="CL95" s="33"/>
      <c r="CM95" s="33"/>
      <c r="CN95" s="33"/>
      <c r="CO95" s="33"/>
      <c r="CP95" s="33"/>
    </row>
    <row r="96" spans="1:94" hidden="1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t="str" cm="1">
        <f t="array" ref="E96">IFERROR(INDEX($J$5:$AVX$5, _xlfn.AGGREGATE(15,6, COLUMN(J96:AVX96)-COLUMN(J96)+1 / (J96:AVX96="T"), F96)), "")</f>
        <v/>
      </c>
      <c r="F96" s="97">
        <f>$A$2</f>
        <v>2</v>
      </c>
      <c r="G96" s="35" cm="1">
        <f t="array" ref="G96">IFERROR(INDEX($J$5:$AVW$5,_xlfn.AGGREGATE(14,6,(COLUMN($J96:$AVW96)-COLUMN($J96)+1)/($J96:$AVW96="T"),1)),"")</f>
        <v>45980</v>
      </c>
      <c r="H96" s="100">
        <f>COUNTIF($J96:$AVV96,"T")</f>
        <v>1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  <c r="CE96" s="33"/>
      <c r="CF96" s="33"/>
      <c r="CG96" s="33"/>
      <c r="CH96" s="33"/>
      <c r="CI96" s="33"/>
      <c r="CJ96" s="33"/>
      <c r="CK96" s="33"/>
      <c r="CL96" s="33"/>
      <c r="CM96" s="33"/>
      <c r="CN96" s="33"/>
      <c r="CO96" s="33"/>
      <c r="CP96" s="33"/>
    </row>
    <row r="97" spans="1:94" ht="15" hidden="1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t="str" cm="1">
        <f t="array" ref="E97">IFERROR(INDEX($J$5:$AVX$5, _xlfn.AGGREGATE(15,6, COLUMN(J97:AVX97)-COLUMN(J97)+1 / (J97:AVX97="T"), F97)), "")</f>
        <v/>
      </c>
      <c r="F97" s="97">
        <f>$A$2</f>
        <v>2</v>
      </c>
      <c r="G97" s="35" cm="1">
        <f t="array" ref="G97">IFERROR(INDEX($J$5:$AVW$5,_xlfn.AGGREGATE(14,6,(COLUMN($J97:$AVW97)-COLUMN($J97)+1)/($J97:$AVW97="T"),1)),"")</f>
        <v>45968</v>
      </c>
      <c r="H97" s="100">
        <f>COUNTIF($J97:$AVV97,"T")</f>
        <v>1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3"/>
      <c r="BA97" s="33"/>
      <c r="BB97" s="33"/>
      <c r="BC97" s="33"/>
      <c r="BD97" s="33"/>
      <c r="BE97" s="33"/>
      <c r="BF97" s="33"/>
      <c r="BG97" s="33"/>
      <c r="BH97" s="33"/>
      <c r="BI97" s="33"/>
      <c r="BJ97" s="33"/>
      <c r="BK97" s="33"/>
      <c r="BL97" s="33"/>
      <c r="BM97" s="33"/>
      <c r="BN97" s="33"/>
      <c r="BO97" s="33"/>
      <c r="BP97" s="33"/>
      <c r="BQ97" s="33"/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hidden="1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t="str" cm="1">
        <f t="array" ref="E98">IFERROR(INDEX($J$5:$AVX$5, _xlfn.AGGREGATE(15,6, COLUMN(J98:AVX98)-COLUMN(J98)+1 / (J98:AVX98="T"), F98)), "")</f>
        <v/>
      </c>
      <c r="F98" s="97">
        <f>$A$2</f>
        <v>2</v>
      </c>
      <c r="G98" s="35" cm="1">
        <f t="array" ref="G98">IFERROR(INDEX($J$5:$AVW$5,_xlfn.AGGREGATE(14,6,(COLUMN($J98:$AVW98)-COLUMN($J98)+1)/($J98:$AVW98="T"),1)),"")</f>
        <v>45968</v>
      </c>
      <c r="H98" s="100">
        <f>COUNTIF($J98:$AVV98,"T")</f>
        <v>1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3"/>
      <c r="BA98" s="33"/>
      <c r="BB98" s="33"/>
      <c r="BC98" s="33"/>
      <c r="BD98" s="33"/>
      <c r="BE98" s="33"/>
      <c r="BF98" s="33"/>
      <c r="BG98" s="33"/>
      <c r="BH98" s="33"/>
      <c r="BI98" s="33"/>
      <c r="BJ98" s="33"/>
      <c r="BK98" s="33"/>
      <c r="BL98" s="33"/>
      <c r="BM98" s="33"/>
      <c r="BN98" s="33"/>
      <c r="BO98" s="33"/>
      <c r="BP98" s="33"/>
      <c r="BQ98" s="33"/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hidden="1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t="str" cm="1">
        <f t="array" ref="E99">IFERROR(INDEX($J$5:$AVX$5, _xlfn.AGGREGATE(15,6, COLUMN(J99:AVX99)-COLUMN(J99)+1 / (J99:AVX99="T"), F99)), "")</f>
        <v/>
      </c>
      <c r="F99" s="97">
        <f>$A$2</f>
        <v>2</v>
      </c>
      <c r="G99" s="35" cm="1">
        <f t="array" ref="G99">IFERROR(INDEX($J$5:$AVW$5,_xlfn.AGGREGATE(14,6,(COLUMN($J99:$AVW99)-COLUMN($J99)+1)/($J99:$AVW99="T"),1)),"")</f>
        <v>45967</v>
      </c>
      <c r="H99" s="100">
        <f>COUNTIF($J99:$AVV99,"T")</f>
        <v>1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3"/>
      <c r="BA99" s="33"/>
      <c r="BB99" s="33"/>
      <c r="BC99" s="33"/>
      <c r="BD99" s="33"/>
      <c r="BE99" s="33"/>
      <c r="BF99" s="33"/>
      <c r="BG99" s="33"/>
      <c r="BH99" s="33"/>
      <c r="BI99" s="33"/>
      <c r="BJ99" s="33"/>
      <c r="BK99" s="33"/>
      <c r="BL99" s="33"/>
      <c r="BM99" s="33"/>
      <c r="BN99" s="33"/>
      <c r="BO99" s="33"/>
      <c r="BP99" s="33"/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hidden="1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t="str" cm="1">
        <f t="array" ref="E100">IFERROR(INDEX($J$5:$AVX$5, _xlfn.AGGREGATE(15,6, COLUMN(J100:AVX100)-COLUMN(J100)+1 / (J100:AVX100="T"), F100)), "")</f>
        <v/>
      </c>
      <c r="F100" s="97">
        <f>$A$2</f>
        <v>2</v>
      </c>
      <c r="G100" s="35" cm="1">
        <f t="array" ref="G100">IFERROR(INDEX($J$5:$AVW$5,_xlfn.AGGREGATE(14,6,(COLUMN($J100:$AVW100)-COLUMN($J100)+1)/($J100:$AVW100="T"),1)),"")</f>
        <v>45967</v>
      </c>
      <c r="H100" s="100">
        <f>COUNTIF($J100:$AVV100,"T")</f>
        <v>1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3"/>
      <c r="BA100" s="33"/>
      <c r="BB100" s="33"/>
      <c r="BC100" s="33"/>
      <c r="BD100" s="33"/>
      <c r="BE100" s="33"/>
      <c r="BF100" s="33"/>
      <c r="BG100" s="33"/>
      <c r="BH100" s="33"/>
      <c r="BI100" s="33"/>
      <c r="BJ100" s="33"/>
      <c r="BK100" s="33"/>
      <c r="BL100" s="33"/>
      <c r="BM100" s="33"/>
      <c r="BN100" s="33"/>
      <c r="BO100" s="33"/>
      <c r="BP100" s="33"/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hidden="1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t="str" cm="1">
        <f t="array" ref="E101">IFERROR(INDEX($J$5:$AVX$5, _xlfn.AGGREGATE(15,6, COLUMN(J101:AVX101)-COLUMN(J101)+1 / (J101:AVX101="T"), F101)), "")</f>
        <v/>
      </c>
      <c r="F101" s="97">
        <f>$A$2</f>
        <v>2</v>
      </c>
      <c r="G101" s="35" cm="1">
        <f t="array" ref="G101">IFERROR(INDEX($J$5:$AVW$5,_xlfn.AGGREGATE(14,6,(COLUMN($J101:$AVW101)-COLUMN($J101)+1)/($J101:$AVW101="T"),1)),"")</f>
        <v>45967</v>
      </c>
      <c r="H101" s="100">
        <f>COUNTIF($J101:$AVV101,"T")</f>
        <v>1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3"/>
      <c r="BA101" s="33"/>
      <c r="BB101" s="33"/>
      <c r="BC101" s="33"/>
      <c r="BD101" s="33"/>
      <c r="BE101" s="33"/>
      <c r="BF101" s="33"/>
      <c r="BG101" s="33"/>
      <c r="BH101" s="33"/>
      <c r="BI101" s="33"/>
      <c r="BJ101" s="33"/>
      <c r="BK101" s="33"/>
      <c r="BL101" s="33"/>
      <c r="BM101" s="33"/>
      <c r="BN101" s="33"/>
      <c r="BO101" s="33"/>
      <c r="BP101" s="33"/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hidden="1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t="str" cm="1">
        <f t="array" ref="E102">IFERROR(INDEX($J$5:$AVX$5, _xlfn.AGGREGATE(15,6, COLUMN(J102:AVX102)-COLUMN(J102)+1 / (J102:AVX102="T"), F102)), "")</f>
        <v/>
      </c>
      <c r="F102" s="97">
        <f>$A$2</f>
        <v>2</v>
      </c>
      <c r="G102" s="35" cm="1">
        <f t="array" ref="G102">IFERROR(INDEX($J$5:$AVW$5,_xlfn.AGGREGATE(14,6,(COLUMN($J102:$AVW102)-COLUMN($J102)+1)/($J102:$AVW102="T"),1)),"")</f>
        <v>45967</v>
      </c>
      <c r="H102" s="100">
        <f>COUNTIF($J102:$AVV102,"T")</f>
        <v>1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3"/>
      <c r="BA102" s="33"/>
      <c r="BB102" s="33"/>
      <c r="BC102" s="33"/>
      <c r="BD102" s="33"/>
      <c r="BE102" s="33"/>
      <c r="BF102" s="33"/>
      <c r="BG102" s="33"/>
      <c r="BH102" s="33"/>
      <c r="BI102" s="33"/>
      <c r="BJ102" s="33"/>
      <c r="BK102" s="33"/>
      <c r="BL102" s="33"/>
      <c r="BM102" s="33"/>
      <c r="BN102" s="33"/>
      <c r="BO102" s="33"/>
      <c r="BP102" s="33"/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hidden="1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t="str" cm="1">
        <f t="array" ref="E103">IFERROR(INDEX($J$5:$AVX$5, _xlfn.AGGREGATE(15,6, COLUMN(J103:AVX103)-COLUMN(J103)+1 / (J103:AVX103="T"), F103)), "")</f>
        <v/>
      </c>
      <c r="F103" s="97">
        <f>$A$2</f>
        <v>2</v>
      </c>
      <c r="G103" s="35" cm="1">
        <f t="array" ref="G103">IFERROR(INDEX($J$5:$AVW$5,_xlfn.AGGREGATE(14,6,(COLUMN($J103:$AVW103)-COLUMN($J103)+1)/($J103:$AVW103="T"),1)),"")</f>
        <v>45967</v>
      </c>
      <c r="H103" s="100">
        <f>COUNTIF($J103:$AVV103,"T")</f>
        <v>1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3"/>
      <c r="BA103" s="33"/>
      <c r="BB103" s="33"/>
      <c r="BC103" s="33"/>
      <c r="BD103" s="33"/>
      <c r="BE103" s="33"/>
      <c r="BF103" s="33"/>
      <c r="BG103" s="33"/>
      <c r="BH103" s="33"/>
      <c r="BI103" s="33"/>
      <c r="BJ103" s="33"/>
      <c r="BK103" s="33"/>
      <c r="BL103" s="33"/>
      <c r="BM103" s="33"/>
      <c r="BN103" s="33"/>
      <c r="BO103" s="33"/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hidden="1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t="str" cm="1">
        <f t="array" ref="E104">IFERROR(INDEX($J$5:$AVX$5, _xlfn.AGGREGATE(15,6, COLUMN(J104:AVX104)-COLUMN(J104)+1 / (J104:AVX104="T"), F104)), "")</f>
        <v/>
      </c>
      <c r="F104" s="97">
        <f>$A$2</f>
        <v>2</v>
      </c>
      <c r="G104" s="35" cm="1">
        <f t="array" ref="G104">IFERROR(INDEX($J$5:$AVW$5,_xlfn.AGGREGATE(14,6,(COLUMN($J104:$AVW104)-COLUMN($J104)+1)/($J104:$AVW104="T"),1)),"")</f>
        <v>45967</v>
      </c>
      <c r="H104" s="100">
        <f>COUNTIF($J104:$AVV104,"T")</f>
        <v>1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3"/>
      <c r="BA104" s="33"/>
      <c r="BB104" s="33"/>
      <c r="BC104" s="33"/>
      <c r="BD104" s="33"/>
      <c r="BE104" s="33"/>
      <c r="BF104" s="33"/>
      <c r="BG104" s="33"/>
      <c r="BH104" s="33"/>
      <c r="BI104" s="33"/>
      <c r="BJ104" s="33"/>
      <c r="BK104" s="33"/>
      <c r="BL104" s="33"/>
      <c r="BM104" s="33"/>
      <c r="BN104" s="33"/>
      <c r="BO104" s="33"/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hidden="1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t="str" cm="1">
        <f t="array" ref="E105">IFERROR(INDEX($J$5:$AVX$5, _xlfn.AGGREGATE(15,6, COLUMN(J105:AVX105)-COLUMN(J105)+1 / (J105:AVX105="T"), F105)), "")</f>
        <v/>
      </c>
      <c r="F105" s="97">
        <f>$A$2</f>
        <v>2</v>
      </c>
      <c r="G105" s="35" cm="1">
        <f t="array" ref="G105">IFERROR(INDEX($J$5:$AVW$5,_xlfn.AGGREGATE(14,6,(COLUMN($J105:$AVW105)-COLUMN($J105)+1)/($J105:$AVW105="T"),1)),"")</f>
        <v>45967</v>
      </c>
      <c r="H105" s="100">
        <f>COUNTIF($J105:$AVV105,"T")</f>
        <v>1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3"/>
      <c r="BA105" s="33"/>
      <c r="BB105" s="33"/>
      <c r="BC105" s="33"/>
      <c r="BD105" s="33"/>
      <c r="BE105" s="33"/>
      <c r="BF105" s="33"/>
      <c r="BG105" s="33"/>
      <c r="BH105" s="33"/>
      <c r="BI105" s="33"/>
      <c r="BJ105" s="33"/>
      <c r="BK105" s="33"/>
      <c r="BL105" s="33"/>
      <c r="BM105" s="33"/>
      <c r="BN105" s="33"/>
      <c r="BO105" s="33"/>
      <c r="BP105" s="33"/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hidden="1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t="str" cm="1">
        <f t="array" ref="E106">IFERROR(INDEX($J$5:$AVX$5, _xlfn.AGGREGATE(15,6, COLUMN(J106:AVX106)-COLUMN(J106)+1 / (J106:AVX106="T"), F106)), "")</f>
        <v/>
      </c>
      <c r="F106" s="97">
        <f>$A$2</f>
        <v>2</v>
      </c>
      <c r="G106" s="35" cm="1">
        <f t="array" ref="G106">IFERROR(INDEX($J$5:$AVW$5,_xlfn.AGGREGATE(14,6,(COLUMN($J106:$AVW106)-COLUMN($J106)+1)/($J106:$AVW106="T"),1)),"")</f>
        <v>45964</v>
      </c>
      <c r="H106" s="100">
        <f>COUNTIF($J106:$AVV106,"T")</f>
        <v>1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3"/>
      <c r="BA106" s="33"/>
      <c r="BB106" s="33"/>
      <c r="BC106" s="33"/>
      <c r="BD106" s="33"/>
      <c r="BE106" s="33"/>
      <c r="BF106" s="33"/>
      <c r="BG106" s="33"/>
      <c r="BH106" s="33"/>
      <c r="BI106" s="33"/>
      <c r="BJ106" s="33"/>
      <c r="BK106" s="33"/>
      <c r="BL106" s="33"/>
      <c r="BM106" s="33"/>
      <c r="BN106" s="33"/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97">
        <f>$A$2</f>
        <v>2</v>
      </c>
      <c r="G107" s="35" cm="1">
        <f t="array" ref="G107">IFERROR(INDEX($J$5:$AVW$5,_xlfn.AGGREGATE(14,6,(COLUMN($J107:$AVW107)-COLUMN($J107)+1)/($J107:$AVW107="T"),1)),"")</f>
        <v>45994</v>
      </c>
      <c r="H107" s="100">
        <f>COUNTIF($J107:$AVV107,"T")</f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97">
        <f>$A$2</f>
        <v>2</v>
      </c>
      <c r="G108" s="35" cm="1">
        <f t="array" ref="G108">IFERROR(INDEX($J$5:$AVW$5,_xlfn.AGGREGATE(14,6,(COLUMN($J108:$AVW108)-COLUMN($J108)+1)/($J108:$AVW108="T"),1)),"")</f>
        <v>45994</v>
      </c>
      <c r="H108" s="100">
        <f>COUNTIF($J108:$AVV108,"T")</f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97">
        <f>$A$2</f>
        <v>2</v>
      </c>
      <c r="G109" s="35" cm="1">
        <f t="array" ref="G109">IFERROR(INDEX($J$5:$AVW$5,_xlfn.AGGREGATE(14,6,(COLUMN($J109:$AVW109)-COLUMN($J109)+1)/($J109:$AVW109="T"),1)),"")</f>
        <v>45994</v>
      </c>
      <c r="H109" s="100">
        <f>COUNTIF($J109:$AVV109,"T")</f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97">
        <f>$A$2</f>
        <v>2</v>
      </c>
      <c r="G110" s="35" cm="1">
        <f t="array" ref="G110">IFERROR(INDEX($J$5:$AVW$5,_xlfn.AGGREGATE(14,6,(COLUMN($J110:$AVW110)-COLUMN($J110)+1)/($J110:$AVW110="T"),1)),"")</f>
        <v>45994</v>
      </c>
      <c r="H110" s="100">
        <f>COUNTIF($J110:$AVV110,"T")</f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97">
        <f>$A$2</f>
        <v>2</v>
      </c>
      <c r="G111" s="35" cm="1">
        <f t="array" ref="G111">IFERROR(INDEX($J$5:$AVW$5,_xlfn.AGGREGATE(14,6,(COLUMN($J111:$AVW111)-COLUMN($J111)+1)/($J111:$AVW111="T"),1)),"")</f>
        <v>45994</v>
      </c>
      <c r="H111" s="100">
        <f>COUNTIF($J111:$AVV111,"T")</f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97">
        <f>$A$2</f>
        <v>2</v>
      </c>
      <c r="G112" s="35" cm="1">
        <f t="array" ref="G112">IFERROR(INDEX($J$5:$AVW$5,_xlfn.AGGREGATE(14,6,(COLUMN($J112:$AVW112)-COLUMN($J112)+1)/($J112:$AVW112="T"),1)),"")</f>
        <v>45994</v>
      </c>
      <c r="H112" s="100">
        <f>COUNTIF($J112:$AVV112,"T")</f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hidden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97">
        <f>$A$2</f>
        <v>2</v>
      </c>
      <c r="G113" s="35" cm="1">
        <f t="array" ref="G113">IFERROR(INDEX($J$5:$AVW$5,_xlfn.AGGREGATE(14,6,(COLUMN($J113:$AVW113)-COLUMN($J113)+1)/($J113:$AVW113="T"),1)),"")</f>
        <v>45991</v>
      </c>
      <c r="H113" s="100">
        <f>COUNTIF($J113:$AVV113,"T")</f>
        <v>2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  <c r="CF113" s="33"/>
      <c r="CG113" s="33"/>
      <c r="CH113" s="33"/>
      <c r="CI113" s="33"/>
      <c r="CJ113" s="33"/>
      <c r="CK113" s="33"/>
      <c r="CL113" s="33"/>
      <c r="CM113" s="33"/>
      <c r="CN113" s="33"/>
      <c r="CO113" s="33"/>
      <c r="CP113" s="33"/>
    </row>
    <row r="114" spans="1:94" s="48" customFormat="1" hidden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97">
        <f>$A$2</f>
        <v>2</v>
      </c>
      <c r="G114" s="35" cm="1">
        <f t="array" ref="G114">IFERROR(INDEX($J$5:$AVW$5,_xlfn.AGGREGATE(14,6,(COLUMN($J114:$AVW114)-COLUMN($J114)+1)/($J114:$AVW114="T"),1)),"")</f>
        <v>45991</v>
      </c>
      <c r="H114" s="100">
        <f>COUNTIF($J114:$AVV114,"T")</f>
        <v>2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  <c r="CF114" s="33"/>
      <c r="CG114" s="33"/>
      <c r="CH114" s="33"/>
      <c r="CI114" s="33"/>
      <c r="CJ114" s="33"/>
      <c r="CK114" s="33"/>
      <c r="CL114" s="33"/>
      <c r="CM114" s="33"/>
      <c r="CN114" s="33"/>
      <c r="CO114" s="33"/>
      <c r="CP114" s="33"/>
    </row>
    <row r="115" spans="1:94" hidden="1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97">
        <f>$A$2</f>
        <v>2</v>
      </c>
      <c r="G115" s="35" cm="1">
        <f t="array" ref="G115">IFERROR(INDEX($J$5:$AVW$5,_xlfn.AGGREGATE(14,6,(COLUMN($J115:$AVW115)-COLUMN($J115)+1)/($J115:$AVW115="T"),1)),"")</f>
        <v>45991</v>
      </c>
      <c r="H115" s="100">
        <f>COUNTIF($J115:$AVV115,"T")</f>
        <v>2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  <c r="CD115" s="33"/>
      <c r="CE115" s="33"/>
      <c r="CF115" s="33"/>
      <c r="CG115" s="33"/>
      <c r="CH115" s="33"/>
      <c r="CI115" s="33"/>
      <c r="CJ115" s="33"/>
      <c r="CK115" s="33"/>
      <c r="CL115" s="33"/>
      <c r="CM115" s="33"/>
      <c r="CN115" s="33"/>
      <c r="CO115" s="33"/>
      <c r="CP115" s="33"/>
    </row>
    <row r="116" spans="1:94" hidden="1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97">
        <f>$A$2</f>
        <v>2</v>
      </c>
      <c r="G116" s="35" cm="1">
        <f t="array" ref="G116">IFERROR(INDEX($J$5:$AVW$5,_xlfn.AGGREGATE(14,6,(COLUMN($J116:$AVW116)-COLUMN($J116)+1)/($J116:$AVW116="T"),1)),"")</f>
        <v>45991</v>
      </c>
      <c r="H116" s="100">
        <f>COUNTIF($J116:$AVV116,"T")</f>
        <v>2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  <c r="CD116" s="33"/>
      <c r="CE116" s="33"/>
      <c r="CF116" s="33"/>
      <c r="CG116" s="33"/>
      <c r="CH116" s="33"/>
      <c r="CI116" s="33"/>
      <c r="CJ116" s="33"/>
      <c r="CK116" s="33"/>
      <c r="CL116" s="33"/>
      <c r="CM116" s="33"/>
      <c r="CN116" s="33"/>
      <c r="CO116" s="33"/>
      <c r="CP116" s="33"/>
    </row>
    <row r="117" spans="1:94" s="48" customFormat="1" hidden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97">
        <f>$A$2</f>
        <v>2</v>
      </c>
      <c r="G117" s="35" cm="1">
        <f t="array" ref="G117">IFERROR(INDEX($J$5:$AVW$5,_xlfn.AGGREGATE(14,6,(COLUMN($J117:$AVW117)-COLUMN($J117)+1)/($J117:$AVW117="T"),1)),"")</f>
        <v>45992</v>
      </c>
      <c r="H117" s="100">
        <f>COUNTIF($J117:$AVV117,"T")</f>
        <v>2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  <c r="CD117" s="33"/>
      <c r="CE117" s="33"/>
      <c r="CF117" s="33"/>
      <c r="CG117" s="33"/>
      <c r="CH117" s="33"/>
      <c r="CI117" s="33"/>
      <c r="CJ117" s="33"/>
      <c r="CK117" s="33"/>
      <c r="CL117" s="33"/>
      <c r="CM117" s="33"/>
      <c r="CN117" s="33"/>
      <c r="CO117" s="33"/>
      <c r="CP117" s="33"/>
    </row>
    <row r="118" spans="1:94" s="48" customFormat="1" hidden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97">
        <f>$A$2</f>
        <v>2</v>
      </c>
      <c r="G118" s="35" cm="1">
        <f t="array" ref="G118">IFERROR(INDEX($J$5:$AVW$5,_xlfn.AGGREGATE(14,6,(COLUMN($J118:$AVW118)-COLUMN($J118)+1)/($J118:$AVW118="T"),1)),"")</f>
        <v>45992</v>
      </c>
      <c r="H118" s="100">
        <f>COUNTIF($J118:$AVV118,"T")</f>
        <v>2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  <c r="CD118" s="33"/>
      <c r="CE118" s="33"/>
      <c r="CF118" s="33"/>
      <c r="CG118" s="33"/>
      <c r="CH118" s="33"/>
      <c r="CI118" s="33"/>
      <c r="CJ118" s="33"/>
      <c r="CK118" s="33"/>
      <c r="CL118" s="33"/>
      <c r="CM118" s="33"/>
      <c r="CN118" s="33"/>
      <c r="CO118" s="33"/>
      <c r="CP118" s="33"/>
    </row>
    <row r="119" spans="1:94" s="48" customFormat="1" hidden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97">
        <f>$A$2</f>
        <v>2</v>
      </c>
      <c r="G119" s="35" cm="1">
        <f t="array" ref="G119">IFERROR(INDEX($J$5:$AVW$5,_xlfn.AGGREGATE(14,6,(COLUMN($J119:$AVW119)-COLUMN($J119)+1)/($J119:$AVW119="T"),1)),"")</f>
        <v>45992</v>
      </c>
      <c r="H119" s="100">
        <f>COUNTIF($J119:$AVV119,"T")</f>
        <v>2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  <c r="CD119" s="33"/>
      <c r="CE119" s="33"/>
      <c r="CF119" s="33"/>
      <c r="CG119" s="33"/>
      <c r="CH119" s="33"/>
      <c r="CI119" s="33"/>
      <c r="CJ119" s="33"/>
      <c r="CK119" s="33"/>
      <c r="CL119" s="33"/>
      <c r="CM119" s="33"/>
      <c r="CN119" s="33"/>
      <c r="CO119" s="33"/>
      <c r="CP119" s="33"/>
    </row>
    <row r="120" spans="1:94" ht="15" hidden="1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t="str" cm="1">
        <f t="array" ref="E120">IFERROR(INDEX($J$5:$AVX$5, _xlfn.AGGREGATE(15,6, COLUMN(J120:AVX120)-COLUMN(J120)+1 / (J120:AVX120="T"), F120)), "")</f>
        <v/>
      </c>
      <c r="F120" s="97">
        <f>$A$2</f>
        <v>2</v>
      </c>
      <c r="G120" s="35" cm="1">
        <f t="array" ref="G120">IFERROR(INDEX($J$5:$AVW$5,_xlfn.AGGREGATE(14,6,(COLUMN($J120:$AVW120)-COLUMN($J120)+1)/($J120:$AVW120="T"),1)),"")</f>
        <v>45965</v>
      </c>
      <c r="H120" s="100">
        <f>COUNTIF($J120:$AVV120,"T")</f>
        <v>1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3"/>
      <c r="BA120" s="33"/>
      <c r="BB120" s="33"/>
      <c r="BC120" s="33"/>
      <c r="BD120" s="33"/>
      <c r="BE120" s="33"/>
      <c r="BF120" s="33"/>
      <c r="BG120" s="33"/>
      <c r="BH120" s="33"/>
      <c r="BI120" s="33"/>
      <c r="BJ120" s="33"/>
      <c r="BK120" s="33"/>
      <c r="BL120" s="33"/>
      <c r="BM120" s="33"/>
      <c r="BN120" s="33"/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  <c r="CD120" s="33"/>
      <c r="CE120" s="33"/>
      <c r="CF120" s="33"/>
      <c r="CG120" s="33"/>
      <c r="CH120" s="33"/>
      <c r="CI120" s="33"/>
      <c r="CJ120" s="33"/>
      <c r="CK120" s="33"/>
      <c r="CL120" s="33"/>
      <c r="CM120" s="33"/>
      <c r="CN120" s="33"/>
      <c r="CO120" s="33"/>
      <c r="CP120" s="33"/>
    </row>
    <row r="121" spans="1:94" hidden="1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t="str" cm="1">
        <f t="array" ref="E121">IFERROR(INDEX($J$5:$AVX$5, _xlfn.AGGREGATE(15,6, COLUMN(J121:AVX121)-COLUMN(J121)+1 / (J121:AVX121="T"), F121)), "")</f>
        <v/>
      </c>
      <c r="F121" s="97">
        <f>$A$2</f>
        <v>2</v>
      </c>
      <c r="G121" s="35" cm="1">
        <f t="array" ref="G121">IFERROR(INDEX($J$5:$AVW$5,_xlfn.AGGREGATE(14,6,(COLUMN($J121:$AVW121)-COLUMN($J121)+1)/($J121:$AVW121="T"),1)),"")</f>
        <v>45965</v>
      </c>
      <c r="H121" s="100">
        <f>COUNTIF($J121:$AVV121,"T")</f>
        <v>1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3"/>
      <c r="BA121" s="33"/>
      <c r="BB121" s="33"/>
      <c r="BC121" s="33"/>
      <c r="BD121" s="33"/>
      <c r="BE121" s="33"/>
      <c r="BF121" s="33"/>
      <c r="BG121" s="33"/>
      <c r="BH121" s="33"/>
      <c r="BI121" s="33"/>
      <c r="BJ121" s="33"/>
      <c r="BK121" s="33"/>
      <c r="BL121" s="33"/>
      <c r="BM121" s="33"/>
      <c r="BN121" s="33"/>
      <c r="BO121" s="33"/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  <c r="CD121" s="33"/>
      <c r="CE121" s="33"/>
      <c r="CF121" s="33"/>
      <c r="CG121" s="33"/>
      <c r="CH121" s="33"/>
      <c r="CI121" s="33"/>
      <c r="CJ121" s="33"/>
      <c r="CK121" s="33"/>
      <c r="CL121" s="33"/>
      <c r="CM121" s="33"/>
      <c r="CN121" s="33"/>
      <c r="CO121" s="33"/>
      <c r="CP121" s="33"/>
    </row>
    <row r="122" spans="1:94" hidden="1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t="str" cm="1">
        <f t="array" ref="E122">IFERROR(INDEX($J$5:$AVX$5, _xlfn.AGGREGATE(15,6, COLUMN(J122:AVX122)-COLUMN(J122)+1 / (J122:AVX122="T"), F122)), "")</f>
        <v/>
      </c>
      <c r="F122" s="97">
        <f>$A$2</f>
        <v>2</v>
      </c>
      <c r="G122" s="35" cm="1">
        <f t="array" ref="G122">IFERROR(INDEX($J$5:$AVW$5,_xlfn.AGGREGATE(14,6,(COLUMN($J122:$AVW122)-COLUMN($J122)+1)/($J122:$AVW122="T"),1)),"")</f>
        <v>45965</v>
      </c>
      <c r="H122" s="100">
        <f>COUNTIF($J122:$AVV122,"T")</f>
        <v>1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3"/>
      <c r="BA122" s="33"/>
      <c r="BB122" s="33"/>
      <c r="BC122" s="33"/>
      <c r="BD122" s="33"/>
      <c r="BE122" s="33"/>
      <c r="BF122" s="33"/>
      <c r="BG122" s="33"/>
      <c r="BH122" s="33"/>
      <c r="BI122" s="33"/>
      <c r="BJ122" s="33"/>
      <c r="BK122" s="33"/>
      <c r="BL122" s="33"/>
      <c r="BM122" s="33"/>
      <c r="BN122" s="33"/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  <c r="CD122" s="33"/>
      <c r="CE122" s="33"/>
      <c r="CF122" s="33"/>
      <c r="CG122" s="33"/>
      <c r="CH122" s="33"/>
      <c r="CI122" s="33"/>
      <c r="CJ122" s="33"/>
      <c r="CK122" s="33"/>
      <c r="CL122" s="33"/>
      <c r="CM122" s="33"/>
      <c r="CN122" s="33"/>
      <c r="CO122" s="33"/>
      <c r="CP122" s="33"/>
    </row>
    <row r="123" spans="1:94" hidden="1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t="str" cm="1">
        <f t="array" ref="E123">IFERROR(INDEX($J$5:$AVX$5, _xlfn.AGGREGATE(15,6, COLUMN(J123:AVX123)-COLUMN(J123)+1 / (J123:AVX123="T"), F123)), "")</f>
        <v/>
      </c>
      <c r="F123" s="97">
        <f>$A$2</f>
        <v>2</v>
      </c>
      <c r="G123" s="35" cm="1">
        <f t="array" ref="G123">IFERROR(INDEX($J$5:$AVW$5,_xlfn.AGGREGATE(14,6,(COLUMN($J123:$AVW123)-COLUMN($J123)+1)/($J123:$AVW123="T"),1)),"")</f>
        <v>45965</v>
      </c>
      <c r="H123" s="100">
        <f>COUNTIF($J123:$AVV123,"T")</f>
        <v>1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3"/>
      <c r="BA123" s="33"/>
      <c r="BB123" s="33"/>
      <c r="BC123" s="33"/>
      <c r="BD123" s="33"/>
      <c r="BE123" s="33"/>
      <c r="BF123" s="33"/>
      <c r="BG123" s="33"/>
      <c r="BH123" s="33"/>
      <c r="BI123" s="33"/>
      <c r="BJ123" s="33"/>
      <c r="BK123" s="33"/>
      <c r="BL123" s="33"/>
      <c r="BM123" s="33"/>
      <c r="BN123" s="33"/>
      <c r="BO123" s="33"/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  <c r="CD123" s="33"/>
      <c r="CE123" s="33"/>
      <c r="CF123" s="33"/>
      <c r="CG123" s="33"/>
      <c r="CH123" s="33"/>
      <c r="CI123" s="33"/>
      <c r="CJ123" s="33"/>
      <c r="CK123" s="33"/>
      <c r="CL123" s="33"/>
      <c r="CM123" s="33"/>
      <c r="CN123" s="33"/>
      <c r="CO123" s="33"/>
      <c r="CP123" s="33"/>
    </row>
    <row r="124" spans="1:94" hidden="1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t="str" cm="1">
        <f t="array" ref="E124">IFERROR(INDEX($J$5:$AVX$5, _xlfn.AGGREGATE(15,6, COLUMN(J124:AVX124)-COLUMN(J124)+1 / (J124:AVX124="T"), F124)), "")</f>
        <v/>
      </c>
      <c r="F124" s="97">
        <f>$A$2</f>
        <v>2</v>
      </c>
      <c r="G124" s="35" cm="1">
        <f t="array" ref="G124">IFERROR(INDEX($J$5:$AVW$5,_xlfn.AGGREGATE(14,6,(COLUMN($J124:$AVW124)-COLUMN($J124)+1)/($J124:$AVW124="T"),1)),"")</f>
        <v>45965</v>
      </c>
      <c r="H124" s="100">
        <f>COUNTIF($J124:$AVV124,"T")</f>
        <v>1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3"/>
      <c r="BA124" s="33"/>
      <c r="BB124" s="33"/>
      <c r="BC124" s="33"/>
      <c r="BD124" s="33"/>
      <c r="BE124" s="33"/>
      <c r="BF124" s="33"/>
      <c r="BG124" s="33"/>
      <c r="BH124" s="33"/>
      <c r="BI124" s="33"/>
      <c r="BJ124" s="33"/>
      <c r="BK124" s="33"/>
      <c r="BL124" s="33"/>
      <c r="BM124" s="33"/>
      <c r="BN124" s="33"/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  <c r="CD124" s="33"/>
      <c r="CE124" s="33"/>
      <c r="CF124" s="33"/>
      <c r="CG124" s="33"/>
      <c r="CH124" s="33"/>
      <c r="CI124" s="33"/>
      <c r="CJ124" s="33"/>
      <c r="CK124" s="33"/>
      <c r="CL124" s="33"/>
      <c r="CM124" s="33"/>
      <c r="CN124" s="33"/>
      <c r="CO124" s="33"/>
      <c r="CP124" s="33"/>
    </row>
    <row r="125" spans="1:94" hidden="1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t="str" cm="1">
        <f t="array" ref="E125">IFERROR(INDEX($J$5:$AVX$5, _xlfn.AGGREGATE(15,6, COLUMN(J125:AVX125)-COLUMN(J125)+1 / (J125:AVX125="T"), F125)), "")</f>
        <v/>
      </c>
      <c r="F125" s="97">
        <f>$A$2</f>
        <v>2</v>
      </c>
      <c r="G125" s="35" cm="1">
        <f t="array" ref="G125">IFERROR(INDEX($J$5:$AVW$5,_xlfn.AGGREGATE(14,6,(COLUMN($J125:$AVW125)-COLUMN($J125)+1)/($J125:$AVW125="T"),1)),"")</f>
        <v>45965</v>
      </c>
      <c r="H125" s="100">
        <f>COUNTIF($J125:$AVV125,"T")</f>
        <v>1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3"/>
      <c r="BA125" s="33"/>
      <c r="BB125" s="33"/>
      <c r="BC125" s="33"/>
      <c r="BD125" s="33"/>
      <c r="BE125" s="33"/>
      <c r="BF125" s="33"/>
      <c r="BG125" s="33"/>
      <c r="BH125" s="33"/>
      <c r="BI125" s="33"/>
      <c r="BJ125" s="33"/>
      <c r="BK125" s="33"/>
      <c r="BL125" s="33"/>
      <c r="BM125" s="33"/>
      <c r="BN125" s="33"/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  <c r="CD125" s="33"/>
      <c r="CE125" s="33"/>
      <c r="CF125" s="33"/>
      <c r="CG125" s="33"/>
      <c r="CH125" s="33"/>
      <c r="CI125" s="33"/>
      <c r="CJ125" s="33"/>
      <c r="CK125" s="33"/>
      <c r="CL125" s="33"/>
      <c r="CM125" s="33"/>
      <c r="CN125" s="33"/>
      <c r="CO125" s="33"/>
      <c r="CP125" s="33"/>
    </row>
    <row r="126" spans="1:94" hidden="1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t="str" cm="1">
        <f t="array" ref="E126">IFERROR(INDEX($J$5:$AVX$5, _xlfn.AGGREGATE(15,6, COLUMN(J126:AVX126)-COLUMN(J126)+1 / (J126:AVX126="T"), F126)), "")</f>
        <v/>
      </c>
      <c r="F126" s="97">
        <f>$A$2</f>
        <v>2</v>
      </c>
      <c r="G126" s="35" cm="1">
        <f t="array" ref="G126">IFERROR(INDEX($J$5:$AVW$5,_xlfn.AGGREGATE(14,6,(COLUMN($J126:$AVW126)-COLUMN($J126)+1)/($J126:$AVW126="T"),1)),"")</f>
        <v>45965</v>
      </c>
      <c r="H126" s="100">
        <f>COUNTIF($J126:$AVV126,"T")</f>
        <v>1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3"/>
      <c r="BA126" s="33"/>
      <c r="BB126" s="33"/>
      <c r="BC126" s="33"/>
      <c r="BD126" s="33"/>
      <c r="BE126" s="33"/>
      <c r="BF126" s="33"/>
      <c r="BG126" s="33"/>
      <c r="BH126" s="33"/>
      <c r="BI126" s="33"/>
      <c r="BJ126" s="33"/>
      <c r="BK126" s="33"/>
      <c r="BL126" s="33"/>
      <c r="BM126" s="33"/>
      <c r="BN126" s="33"/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  <c r="CD126" s="33"/>
      <c r="CE126" s="33"/>
      <c r="CF126" s="33"/>
      <c r="CG126" s="33"/>
      <c r="CH126" s="33"/>
      <c r="CI126" s="33"/>
      <c r="CJ126" s="33"/>
      <c r="CK126" s="33"/>
      <c r="CL126" s="33"/>
      <c r="CM126" s="33"/>
      <c r="CN126" s="33"/>
      <c r="CO126" s="33"/>
      <c r="CP126" s="33"/>
    </row>
    <row r="127" spans="1:94" hidden="1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97">
        <f>$A$2</f>
        <v>2</v>
      </c>
      <c r="G127" s="35" cm="1">
        <f t="array" ref="G127">IFERROR(INDEX($J$5:$AVW$5,_xlfn.AGGREGATE(14,6,(COLUMN($J127:$AVW127)-COLUMN($J127)+1)/($J127:$AVW127="T"),1)),"")</f>
        <v>45968</v>
      </c>
      <c r="H127" s="100">
        <f>COUNTIF($J127:$AVV127,"T")</f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hidden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97">
        <f>$A$2</f>
        <v>2</v>
      </c>
      <c r="G128" s="35" cm="1">
        <f t="array" ref="G128">IFERROR(INDEX($J$5:$AVW$5,_xlfn.AGGREGATE(14,6,(COLUMN($J128:$AVW128)-COLUMN($J128)+1)/($J128:$AVW128="T"),1)),"")</f>
        <v>45968</v>
      </c>
      <c r="H128" s="100">
        <f>COUNTIF($J128:$AVV128,"T")</f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hidden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97">
        <f>$A$2</f>
        <v>2</v>
      </c>
      <c r="G129" s="35" cm="1">
        <f t="array" ref="G129">IFERROR(INDEX($J$5:$AVW$5,_xlfn.AGGREGATE(14,6,(COLUMN($J129:$AVW129)-COLUMN($J129)+1)/($J129:$AVW129="T"),1)),"")</f>
        <v>45968</v>
      </c>
      <c r="H129" s="100">
        <f>COUNTIF($J129:$AVV129,"T")</f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hidden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97">
        <f>$A$2</f>
        <v>2</v>
      </c>
      <c r="G130" s="35" t="str" cm="1">
        <f t="array" ref="G130">IFERROR(INDEX($J$5:$AVW$5,_xlfn.AGGREGATE(14,6,(COLUMN($J130:$AVW130)-COLUMN($J130)+1)/($J130:$AVW130="T"),1)),"")</f>
        <v/>
      </c>
      <c r="H130" s="100">
        <f>COUNTIF($J130:$AVV130,"T")</f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hidden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t="str" cm="1">
        <f t="array" ref="E131">IFERROR(INDEX($J$5:$AVX$5, _xlfn.AGGREGATE(15,6, COLUMN(J131:AVX131)-COLUMN(J131)+1 / (J131:AVX131="T"), F131)), "")</f>
        <v/>
      </c>
      <c r="F131" s="97">
        <f>$A$2</f>
        <v>2</v>
      </c>
      <c r="G131" s="35" cm="1">
        <f t="array" ref="G131">IFERROR(INDEX($J$5:$AVW$5,_xlfn.AGGREGATE(14,6,(COLUMN($J131:$AVW131)-COLUMN($J131)+1)/($J131:$AVW131="T"),1)),"")</f>
        <v>45969</v>
      </c>
      <c r="H131" s="100">
        <f>COUNTIF($J131:$AVV131,"T")</f>
        <v>1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3"/>
      <c r="BA131" s="33"/>
      <c r="BB131" s="33"/>
      <c r="BC131" s="33"/>
      <c r="BD131" s="33"/>
      <c r="BE131" s="33"/>
      <c r="BF131" s="33"/>
      <c r="BG131" s="33"/>
      <c r="BH131" s="33"/>
      <c r="BI131" s="33"/>
      <c r="BJ131" s="33"/>
      <c r="BK131" s="33"/>
      <c r="BL131" s="33"/>
      <c r="BM131" s="33"/>
      <c r="BN131" s="33"/>
      <c r="BO131" s="33"/>
      <c r="BP131" s="33"/>
      <c r="BQ131" s="33"/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hidden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t="str" cm="1">
        <f t="array" ref="E132">IFERROR(INDEX($J$5:$AVX$5, _xlfn.AGGREGATE(15,6, COLUMN(J132:AVX132)-COLUMN(J132)+1 / (J132:AVX132="T"), F132)), "")</f>
        <v/>
      </c>
      <c r="F132" s="97">
        <f>$A$2</f>
        <v>2</v>
      </c>
      <c r="G132" s="35" cm="1">
        <f t="array" ref="G132">IFERROR(INDEX($J$5:$AVW$5,_xlfn.AGGREGATE(14,6,(COLUMN($J132:$AVW132)-COLUMN($J132)+1)/($J132:$AVW132="T"),1)),"")</f>
        <v>45969</v>
      </c>
      <c r="H132" s="100">
        <f>COUNTIF($J132:$AVV132,"T")</f>
        <v>1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3"/>
      <c r="BA132" s="33"/>
      <c r="BB132" s="33"/>
      <c r="BC132" s="33"/>
      <c r="BD132" s="33"/>
      <c r="BE132" s="33"/>
      <c r="BF132" s="33"/>
      <c r="BG132" s="33"/>
      <c r="BH132" s="33"/>
      <c r="BI132" s="33"/>
      <c r="BJ132" s="33"/>
      <c r="BK132" s="33"/>
      <c r="BL132" s="33"/>
      <c r="BM132" s="33"/>
      <c r="BN132" s="33"/>
      <c r="BO132" s="33"/>
      <c r="BP132" s="33"/>
      <c r="BQ132" s="33"/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hidden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t="str" cm="1">
        <f t="array" ref="E133">IFERROR(INDEX($J$5:$AVX$5, _xlfn.AGGREGATE(15,6, COLUMN(J133:AVX133)-COLUMN(J133)+1 / (J133:AVX133="T"), F133)), "")</f>
        <v/>
      </c>
      <c r="F133" s="97">
        <f>$A$2</f>
        <v>2</v>
      </c>
      <c r="G133" s="35" cm="1">
        <f t="array" ref="G133">IFERROR(INDEX($J$5:$AVW$5,_xlfn.AGGREGATE(14,6,(COLUMN($J133:$AVW133)-COLUMN($J133)+1)/($J133:$AVW133="T"),1)),"")</f>
        <v>45969</v>
      </c>
      <c r="H133" s="100">
        <f>COUNTIF($J133:$AVV133,"T")</f>
        <v>1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3"/>
      <c r="BA133" s="33"/>
      <c r="BB133" s="33"/>
      <c r="BC133" s="33"/>
      <c r="BD133" s="33"/>
      <c r="BE133" s="33"/>
      <c r="BF133" s="33"/>
      <c r="BG133" s="33"/>
      <c r="BH133" s="33"/>
      <c r="BI133" s="33"/>
      <c r="BJ133" s="33"/>
      <c r="BK133" s="33"/>
      <c r="BL133" s="33"/>
      <c r="BM133" s="33"/>
      <c r="BN133" s="33"/>
      <c r="BO133" s="33"/>
      <c r="BP133" s="33"/>
      <c r="BQ133" s="33"/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hidden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t="str" cm="1">
        <f t="array" ref="E134">IFERROR(INDEX($J$5:$AVX$5, _xlfn.AGGREGATE(15,6, COLUMN(J134:AVX134)-COLUMN(J134)+1 / (J134:AVX134="T"), F134)), "")</f>
        <v/>
      </c>
      <c r="F134" s="97">
        <f>$A$2</f>
        <v>2</v>
      </c>
      <c r="G134" s="35" cm="1">
        <f t="array" ref="G134">IFERROR(INDEX($J$5:$AVW$5,_xlfn.AGGREGATE(14,6,(COLUMN($J134:$AVW134)-COLUMN($J134)+1)/($J134:$AVW134="T"),1)),"")</f>
        <v>45969</v>
      </c>
      <c r="H134" s="100">
        <f>COUNTIF($J134:$AVV134,"T")</f>
        <v>1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3"/>
      <c r="BA134" s="33"/>
      <c r="BB134" s="33"/>
      <c r="BC134" s="33"/>
      <c r="BD134" s="33"/>
      <c r="BE134" s="33"/>
      <c r="BF134" s="33"/>
      <c r="BG134" s="33"/>
      <c r="BH134" s="33"/>
      <c r="BI134" s="33"/>
      <c r="BJ134" s="33"/>
      <c r="BK134" s="33"/>
      <c r="BL134" s="33"/>
      <c r="BM134" s="33"/>
      <c r="BN134" s="33"/>
      <c r="BO134" s="33"/>
      <c r="BP134" s="33"/>
      <c r="BQ134" s="33"/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hidden="1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t="str" cm="1">
        <f t="array" ref="E135">IFERROR(INDEX($J$5:$AVX$5, _xlfn.AGGREGATE(15,6, COLUMN(J135:AVX135)-COLUMN(J135)+1 / (J135:AVX135="T"), F135)), "")</f>
        <v/>
      </c>
      <c r="F135" s="97">
        <f>$A$2</f>
        <v>2</v>
      </c>
      <c r="G135" s="35" cm="1">
        <f t="array" ref="G135">IFERROR(INDEX($J$5:$AVW$5,_xlfn.AGGREGATE(14,6,(COLUMN($J135:$AVW135)-COLUMN($J135)+1)/($J135:$AVW135="T"),1)),"")</f>
        <v>45969</v>
      </c>
      <c r="H135" s="100">
        <f>COUNTIF($J135:$AVV135,"T")</f>
        <v>1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3"/>
      <c r="BA135" s="33"/>
      <c r="BB135" s="33"/>
      <c r="BC135" s="33"/>
      <c r="BD135" s="33"/>
      <c r="BE135" s="33"/>
      <c r="BF135" s="33"/>
      <c r="BG135" s="33"/>
      <c r="BH135" s="33"/>
      <c r="BI135" s="33"/>
      <c r="BJ135" s="33"/>
      <c r="BK135" s="33"/>
      <c r="BL135" s="33"/>
      <c r="BM135" s="33"/>
      <c r="BN135" s="33"/>
      <c r="BO135" s="33"/>
      <c r="BP135" s="33"/>
      <c r="BQ135" s="33"/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hidden="1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t="str" cm="1">
        <f t="array" ref="E136">IFERROR(INDEX($J$5:$AVX$5, _xlfn.AGGREGATE(15,6, COLUMN(J136:AVX136)-COLUMN(J136)+1 / (J136:AVX136="T"), F136)), "")</f>
        <v/>
      </c>
      <c r="F136" s="97">
        <f>$A$2</f>
        <v>2</v>
      </c>
      <c r="G136" s="35" cm="1">
        <f t="array" ref="G136">IFERROR(INDEX($J$5:$AVW$5,_xlfn.AGGREGATE(14,6,(COLUMN($J136:$AVW136)-COLUMN($J136)+1)/($J136:$AVW136="T"),1)),"")</f>
        <v>45969</v>
      </c>
      <c r="H136" s="100">
        <f>COUNTIF($J136:$AVV136,"T")</f>
        <v>1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3"/>
      <c r="BA136" s="33"/>
      <c r="BB136" s="33"/>
      <c r="BC136" s="33"/>
      <c r="BD136" s="33"/>
      <c r="BE136" s="33"/>
      <c r="BF136" s="33"/>
      <c r="BG136" s="33"/>
      <c r="BH136" s="33"/>
      <c r="BI136" s="33"/>
      <c r="BJ136" s="33"/>
      <c r="BK136" s="33"/>
      <c r="BL136" s="33"/>
      <c r="BM136" s="33"/>
      <c r="BN136" s="33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hidden="1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t="str" cm="1">
        <f t="array" ref="E137">IFERROR(INDEX($J$5:$AVX$5, _xlfn.AGGREGATE(15,6, COLUMN(J137:AVX137)-COLUMN(J137)+1 / (J137:AVX137="T"), F137)), "")</f>
        <v/>
      </c>
      <c r="F137" s="97">
        <f>$A$2</f>
        <v>2</v>
      </c>
      <c r="G137" s="35" cm="1">
        <f t="array" ref="G137">IFERROR(INDEX($J$5:$AVW$5,_xlfn.AGGREGATE(14,6,(COLUMN($J137:$AVW137)-COLUMN($J137)+1)/($J137:$AVW137="T"),1)),"")</f>
        <v>45969</v>
      </c>
      <c r="H137" s="100">
        <f>COUNTIF($J137:$AVV137,"T")</f>
        <v>1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hidden="1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t="str" cm="1">
        <f t="array" ref="E138">IFERROR(INDEX($J$5:$AVX$5, _xlfn.AGGREGATE(15,6, COLUMN(J138:AVX138)-COLUMN(J138)+1 / (J138:AVX138="T"), F138)), "")</f>
        <v/>
      </c>
      <c r="F138" s="97">
        <f>$A$2</f>
        <v>2</v>
      </c>
      <c r="G138" s="35" cm="1">
        <f t="array" ref="G138">IFERROR(INDEX($J$5:$AVW$5,_xlfn.AGGREGATE(14,6,(COLUMN($J138:$AVW138)-COLUMN($J138)+1)/($J138:$AVW138="T"),1)),"")</f>
        <v>45970</v>
      </c>
      <c r="H138" s="100">
        <f>COUNTIF($J138:$AVV138,"T")</f>
        <v>1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3"/>
      <c r="BA138" s="33"/>
      <c r="BB138" s="33"/>
      <c r="BC138" s="33"/>
      <c r="BD138" s="33"/>
      <c r="BE138" s="33"/>
      <c r="BF138" s="33"/>
      <c r="BG138" s="33"/>
      <c r="BH138" s="33"/>
      <c r="BI138" s="33"/>
      <c r="BJ138" s="33"/>
      <c r="BK138" s="33"/>
      <c r="BL138" s="33"/>
      <c r="BM138" s="33"/>
      <c r="BN138" s="33"/>
      <c r="BO138" s="33"/>
      <c r="BP138" s="33"/>
      <c r="BQ138" s="33"/>
      <c r="BR138" s="33"/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hidden="1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t="str" cm="1">
        <f t="array" ref="E139">IFERROR(INDEX($J$5:$AVX$5, _xlfn.AGGREGATE(15,6, COLUMN(J139:AVX139)-COLUMN(J139)+1 / (J139:AVX139="T"), F139)), "")</f>
        <v/>
      </c>
      <c r="F139" s="97">
        <f>$A$2</f>
        <v>2</v>
      </c>
      <c r="G139" s="35" cm="1">
        <f t="array" ref="G139">IFERROR(INDEX($J$5:$AVW$5,_xlfn.AGGREGATE(14,6,(COLUMN($J139:$AVW139)-COLUMN($J139)+1)/($J139:$AVW139="T"),1)),"")</f>
        <v>45970</v>
      </c>
      <c r="H139" s="100">
        <f>COUNTIF($J139:$AVV139,"T")</f>
        <v>1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3"/>
      <c r="BA139" s="33"/>
      <c r="BB139" s="33"/>
      <c r="BC139" s="33"/>
      <c r="BD139" s="33"/>
      <c r="BE139" s="33"/>
      <c r="BF139" s="33"/>
      <c r="BG139" s="33"/>
      <c r="BH139" s="33"/>
      <c r="BI139" s="33"/>
      <c r="BJ139" s="33"/>
      <c r="BK139" s="33"/>
      <c r="BL139" s="33"/>
      <c r="BM139" s="33"/>
      <c r="BN139" s="33"/>
      <c r="BO139" s="33"/>
      <c r="BP139" s="33"/>
      <c r="BQ139" s="33"/>
      <c r="BR139" s="33"/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hidden="1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t="str" cm="1">
        <f t="array" ref="E140">IFERROR(INDEX($J$5:$AVX$5, _xlfn.AGGREGATE(15,6, COLUMN(J140:AVX140)-COLUMN(J140)+1 / (J140:AVX140="T"), F140)), "")</f>
        <v/>
      </c>
      <c r="F140" s="97">
        <f>$A$2</f>
        <v>2</v>
      </c>
      <c r="G140" s="35" cm="1">
        <f t="array" ref="G140">IFERROR(INDEX($J$5:$AVW$5,_xlfn.AGGREGATE(14,6,(COLUMN($J140:$AVW140)-COLUMN($J140)+1)/($J140:$AVW140="T"),1)),"")</f>
        <v>45970</v>
      </c>
      <c r="H140" s="100">
        <f>COUNTIF($J140:$AVV140,"T")</f>
        <v>1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3"/>
      <c r="BA140" s="33"/>
      <c r="BB140" s="33"/>
      <c r="BC140" s="33"/>
      <c r="BD140" s="33"/>
      <c r="BE140" s="33"/>
      <c r="BF140" s="33"/>
      <c r="BG140" s="33"/>
      <c r="BH140" s="33"/>
      <c r="BI140" s="33"/>
      <c r="BJ140" s="33"/>
      <c r="BK140" s="33"/>
      <c r="BL140" s="33"/>
      <c r="BM140" s="33"/>
      <c r="BN140" s="33"/>
      <c r="BO140" s="33"/>
      <c r="BP140" s="33"/>
      <c r="BQ140" s="33"/>
      <c r="BR140" s="33"/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hidden="1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t="str" cm="1">
        <f t="array" ref="E141">IFERROR(INDEX($J$5:$AVX$5, _xlfn.AGGREGATE(15,6, COLUMN(J141:AVX141)-COLUMN(J141)+1 / (J141:AVX141="T"), F141)), "")</f>
        <v/>
      </c>
      <c r="F141" s="97">
        <f>$A$2</f>
        <v>2</v>
      </c>
      <c r="G141" s="35" cm="1">
        <f t="array" ref="G141">IFERROR(INDEX($J$5:$AVW$5,_xlfn.AGGREGATE(14,6,(COLUMN($J141:$AVW141)-COLUMN($J141)+1)/($J141:$AVW141="T"),1)),"")</f>
        <v>45970</v>
      </c>
      <c r="H141" s="100">
        <f>COUNTIF($J141:$AVV141,"T")</f>
        <v>1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3"/>
      <c r="BA141" s="33"/>
      <c r="BB141" s="33"/>
      <c r="BC141" s="33"/>
      <c r="BD141" s="33"/>
      <c r="BE141" s="33"/>
      <c r="BF141" s="33"/>
      <c r="BG141" s="33"/>
      <c r="BH141" s="33"/>
      <c r="BI141" s="33"/>
      <c r="BJ141" s="33"/>
      <c r="BK141" s="33"/>
      <c r="BL141" s="33"/>
      <c r="BM141" s="33"/>
      <c r="BN141" s="33"/>
      <c r="BO141" s="33"/>
      <c r="BP141" s="33"/>
      <c r="BQ141" s="33"/>
      <c r="BR141" s="33"/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hidden="1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t="str" cm="1">
        <f t="array" ref="E142">IFERROR(INDEX($J$5:$AVX$5, _xlfn.AGGREGATE(15,6, COLUMN(J142:AVX142)-COLUMN(J142)+1 / (J142:AVX142="T"), F142)), "")</f>
        <v/>
      </c>
      <c r="F142" s="97">
        <f>$A$2</f>
        <v>2</v>
      </c>
      <c r="G142" s="35" cm="1">
        <f t="array" ref="G142">IFERROR(INDEX($J$5:$AVW$5,_xlfn.AGGREGATE(14,6,(COLUMN($J142:$AVW142)-COLUMN($J142)+1)/($J142:$AVW142="T"),1)),"")</f>
        <v>45970</v>
      </c>
      <c r="H142" s="100">
        <f>COUNTIF($J142:$AVV142,"T")</f>
        <v>1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3"/>
      <c r="BA142" s="33"/>
      <c r="BB142" s="33"/>
      <c r="BC142" s="33"/>
      <c r="BD142" s="33"/>
      <c r="BE142" s="33"/>
      <c r="BF142" s="33"/>
      <c r="BG142" s="33"/>
      <c r="BH142" s="33"/>
      <c r="BI142" s="33"/>
      <c r="BJ142" s="33"/>
      <c r="BK142" s="33"/>
      <c r="BL142" s="33"/>
      <c r="BM142" s="33"/>
      <c r="BN142" s="33"/>
      <c r="BO142" s="33"/>
      <c r="BP142" s="33"/>
      <c r="BQ142" s="33"/>
      <c r="BR142" s="33"/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hidden="1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t="str" cm="1">
        <f t="array" ref="E143">IFERROR(INDEX($J$5:$AVX$5, _xlfn.AGGREGATE(15,6, COLUMN(J143:AVX143)-COLUMN(J143)+1 / (J143:AVX143="T"), F143)), "")</f>
        <v/>
      </c>
      <c r="F143" s="97">
        <f>$A$2</f>
        <v>2</v>
      </c>
      <c r="G143" s="35" cm="1">
        <f t="array" ref="G143">IFERROR(INDEX($J$5:$AVW$5,_xlfn.AGGREGATE(14,6,(COLUMN($J143:$AVW143)-COLUMN($J143)+1)/($J143:$AVW143="T"),1)),"")</f>
        <v>45970</v>
      </c>
      <c r="H143" s="100">
        <f>COUNTIF($J143:$AVV143,"T")</f>
        <v>1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3"/>
      <c r="BA143" s="33"/>
      <c r="BB143" s="33"/>
      <c r="BC143" s="33"/>
      <c r="BD143" s="33"/>
      <c r="BE143" s="33"/>
      <c r="BF143" s="33"/>
      <c r="BG143" s="33"/>
      <c r="BH143" s="33"/>
      <c r="BI143" s="33"/>
      <c r="BJ143" s="33"/>
      <c r="BK143" s="33"/>
      <c r="BL143" s="33"/>
      <c r="BM143" s="33"/>
      <c r="BN143" s="33"/>
      <c r="BO143" s="33"/>
      <c r="BP143" s="33"/>
      <c r="BQ143" s="33"/>
      <c r="BR143" s="33"/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hidden="1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t="str" cm="1">
        <f t="array" ref="E144">IFERROR(INDEX($J$5:$AVX$5, _xlfn.AGGREGATE(15,6, COLUMN(J144:AVX144)-COLUMN(J144)+1 / (J144:AVX144="T"), F144)), "")</f>
        <v/>
      </c>
      <c r="F144" s="97">
        <f>$A$2</f>
        <v>2</v>
      </c>
      <c r="G144" s="35" cm="1">
        <f t="array" ref="G144">IFERROR(INDEX($J$5:$AVW$5,_xlfn.AGGREGATE(14,6,(COLUMN($J144:$AVW144)-COLUMN($J144)+1)/($J144:$AVW144="T"),1)),"")</f>
        <v>45970</v>
      </c>
      <c r="H144" s="100">
        <f>COUNTIF($J144:$AVV144,"T")</f>
        <v>1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3"/>
      <c r="BA144" s="33"/>
      <c r="BB144" s="33"/>
      <c r="BC144" s="33"/>
      <c r="BD144" s="33"/>
      <c r="BE144" s="33"/>
      <c r="BF144" s="33"/>
      <c r="BG144" s="33"/>
      <c r="BH144" s="33"/>
      <c r="BI144" s="33"/>
      <c r="BJ144" s="33"/>
      <c r="BK144" s="33"/>
      <c r="BL144" s="33"/>
      <c r="BM144" s="33"/>
      <c r="BN144" s="33"/>
      <c r="BO144" s="33"/>
      <c r="BP144" s="33"/>
      <c r="BQ144" s="33"/>
      <c r="BR144" s="33"/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hidden="1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t="str" cm="1">
        <f t="array" ref="E145">IFERROR(INDEX($J$5:$AVX$5, _xlfn.AGGREGATE(15,6, COLUMN(J145:AVX145)-COLUMN(J145)+1 / (J145:AVX145="T"), F145)), "")</f>
        <v/>
      </c>
      <c r="F145" s="97">
        <f>$A$2</f>
        <v>2</v>
      </c>
      <c r="G145" s="35" cm="1">
        <f t="array" ref="G145">IFERROR(INDEX($J$5:$AVW$5,_xlfn.AGGREGATE(14,6,(COLUMN($J145:$AVW145)-COLUMN($J145)+1)/($J145:$AVW145="T"),1)),"")</f>
        <v>45971</v>
      </c>
      <c r="H145" s="100">
        <f>COUNTIF($J145:$AVV145,"T")</f>
        <v>1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33"/>
      <c r="AW145" s="33"/>
      <c r="AX145" s="33"/>
      <c r="AY145" s="33"/>
      <c r="AZ145" s="33"/>
      <c r="BA145" s="33"/>
      <c r="BB145" s="33"/>
      <c r="BC145" s="33"/>
      <c r="BD145" s="33"/>
      <c r="BE145" s="33"/>
      <c r="BF145" s="33"/>
      <c r="BG145" s="33"/>
      <c r="BH145" s="33"/>
      <c r="BI145" s="33"/>
      <c r="BJ145" s="33"/>
      <c r="BK145" s="33"/>
      <c r="BL145" s="33"/>
      <c r="BM145" s="33"/>
      <c r="BN145" s="33"/>
      <c r="BO145" s="33"/>
      <c r="BP145" s="33"/>
      <c r="BQ145" s="33"/>
      <c r="BR145" s="33"/>
      <c r="BS145" s="33"/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hidden="1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t="str" cm="1">
        <f t="array" ref="E146">IFERROR(INDEX($J$5:$AVX$5, _xlfn.AGGREGATE(15,6, COLUMN(J146:AVX146)-COLUMN(J146)+1 / (J146:AVX146="T"), F146)), "")</f>
        <v/>
      </c>
      <c r="F146" s="97">
        <f>$A$2</f>
        <v>2</v>
      </c>
      <c r="G146" s="35" cm="1">
        <f t="array" ref="G146">IFERROR(INDEX($J$5:$AVW$5,_xlfn.AGGREGATE(14,6,(COLUMN($J146:$AVW146)-COLUMN($J146)+1)/($J146:$AVW146="T"),1)),"")</f>
        <v>45971</v>
      </c>
      <c r="H146" s="100">
        <f>COUNTIF($J146:$AVV146,"T")</f>
        <v>1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33"/>
      <c r="AW146" s="33"/>
      <c r="AX146" s="33"/>
      <c r="AY146" s="33"/>
      <c r="AZ146" s="33"/>
      <c r="BA146" s="33"/>
      <c r="BB146" s="33"/>
      <c r="BC146" s="33"/>
      <c r="BD146" s="33"/>
      <c r="BE146" s="33"/>
      <c r="BF146" s="33"/>
      <c r="BG146" s="33"/>
      <c r="BH146" s="33"/>
      <c r="BI146" s="33"/>
      <c r="BJ146" s="33"/>
      <c r="BK146" s="33"/>
      <c r="BL146" s="33"/>
      <c r="BM146" s="33"/>
      <c r="BN146" s="33"/>
      <c r="BO146" s="33"/>
      <c r="BP146" s="33"/>
      <c r="BQ146" s="33"/>
      <c r="BR146" s="33"/>
      <c r="BS146" s="33"/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hidden="1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t="str" cm="1">
        <f t="array" ref="E147">IFERROR(INDEX($J$5:$AVX$5, _xlfn.AGGREGATE(15,6, COLUMN(J147:AVX147)-COLUMN(J147)+1 / (J147:AVX147="T"), F147)), "")</f>
        <v/>
      </c>
      <c r="F147" s="97">
        <f>$A$2</f>
        <v>2</v>
      </c>
      <c r="G147" s="35" cm="1">
        <f t="array" ref="G147">IFERROR(INDEX($J$5:$AVW$5,_xlfn.AGGREGATE(14,6,(COLUMN($J147:$AVW147)-COLUMN($J147)+1)/($J147:$AVW147="T"),1)),"")</f>
        <v>45971</v>
      </c>
      <c r="H147" s="100">
        <f>COUNTIF($J147:$AVV147,"T")</f>
        <v>1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33"/>
      <c r="AW147" s="33"/>
      <c r="AX147" s="33"/>
      <c r="AY147" s="33"/>
      <c r="AZ147" s="33"/>
      <c r="BA147" s="33"/>
      <c r="BB147" s="33"/>
      <c r="BC147" s="33"/>
      <c r="BD147" s="33"/>
      <c r="BE147" s="33"/>
      <c r="BF147" s="33"/>
      <c r="BG147" s="33"/>
      <c r="BH147" s="33"/>
      <c r="BI147" s="33"/>
      <c r="BJ147" s="33"/>
      <c r="BK147" s="33"/>
      <c r="BL147" s="33"/>
      <c r="BM147" s="33"/>
      <c r="BN147" s="33"/>
      <c r="BO147" s="33"/>
      <c r="BP147" s="33"/>
      <c r="BQ147" s="33"/>
      <c r="BR147" s="33"/>
      <c r="BS147" s="33"/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hidden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t="str" cm="1">
        <f t="array" ref="E148">IFERROR(INDEX($J$5:$AVX$5, _xlfn.AGGREGATE(15,6, COLUMN(J148:AVX148)-COLUMN(J148)+1 / (J148:AVX148="T"), F148)), "")</f>
        <v/>
      </c>
      <c r="F148" s="97">
        <f>$A$2</f>
        <v>2</v>
      </c>
      <c r="G148" s="35" cm="1">
        <f t="array" ref="G148">IFERROR(INDEX($J$5:$AVW$5,_xlfn.AGGREGATE(14,6,(COLUMN($J148:$AVW148)-COLUMN($J148)+1)/($J148:$AVW148="T"),1)),"")</f>
        <v>45971</v>
      </c>
      <c r="H148" s="100">
        <f>COUNTIF($J148:$AVV148,"T")</f>
        <v>1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33"/>
      <c r="AW148" s="33"/>
      <c r="AX148" s="33"/>
      <c r="AY148" s="33"/>
      <c r="AZ148" s="33"/>
      <c r="BA148" s="33"/>
      <c r="BB148" s="33"/>
      <c r="BC148" s="33"/>
      <c r="BD148" s="33"/>
      <c r="BE148" s="33"/>
      <c r="BF148" s="33"/>
      <c r="BG148" s="33"/>
      <c r="BH148" s="33"/>
      <c r="BI148" s="33"/>
      <c r="BJ148" s="33"/>
      <c r="BK148" s="33"/>
      <c r="BL148" s="33"/>
      <c r="BM148" s="33"/>
      <c r="BN148" s="33"/>
      <c r="BO148" s="33"/>
      <c r="BP148" s="33"/>
      <c r="BQ148" s="33"/>
      <c r="BR148" s="33"/>
      <c r="BS148" s="33"/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hidden="1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t="str" cm="1">
        <f t="array" ref="E149">IFERROR(INDEX($J$5:$AVX$5, _xlfn.AGGREGATE(15,6, COLUMN(J149:AVX149)-COLUMN(J149)+1 / (J149:AVX149="T"), F149)), "")</f>
        <v/>
      </c>
      <c r="F149" s="97">
        <f>$A$2</f>
        <v>2</v>
      </c>
      <c r="G149" s="35" cm="1">
        <f t="array" ref="G149">IFERROR(INDEX($J$5:$AVW$5,_xlfn.AGGREGATE(14,6,(COLUMN($J149:$AVW149)-COLUMN($J149)+1)/($J149:$AVW149="T"),1)),"")</f>
        <v>45971</v>
      </c>
      <c r="H149" s="100">
        <f>COUNTIF($J149:$AVV149,"T")</f>
        <v>1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33"/>
      <c r="AW149" s="33"/>
      <c r="AX149" s="33"/>
      <c r="AY149" s="33"/>
      <c r="AZ149" s="33"/>
      <c r="BA149" s="33"/>
      <c r="BB149" s="33"/>
      <c r="BC149" s="33"/>
      <c r="BD149" s="33"/>
      <c r="BE149" s="33"/>
      <c r="BF149" s="33"/>
      <c r="BG149" s="33"/>
      <c r="BH149" s="33"/>
      <c r="BI149" s="33"/>
      <c r="BJ149" s="33"/>
      <c r="BK149" s="33"/>
      <c r="BL149" s="33"/>
      <c r="BM149" s="33"/>
      <c r="BN149" s="33"/>
      <c r="BO149" s="33"/>
      <c r="BP149" s="33"/>
      <c r="BQ149" s="33"/>
      <c r="BR149" s="33"/>
      <c r="BS149" s="33"/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hidden="1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t="str" cm="1">
        <f t="array" ref="E150">IFERROR(INDEX($J$5:$AVX$5, _xlfn.AGGREGATE(15,6, COLUMN(J150:AVX150)-COLUMN(J150)+1 / (J150:AVX150="T"), F150)), "")</f>
        <v/>
      </c>
      <c r="F150" s="97">
        <f>$A$2</f>
        <v>2</v>
      </c>
      <c r="G150" s="35" cm="1">
        <f t="array" ref="G150">IFERROR(INDEX($J$5:$AVW$5,_xlfn.AGGREGATE(14,6,(COLUMN($J150:$AVW150)-COLUMN($J150)+1)/($J150:$AVW150="T"),1)),"")</f>
        <v>45971</v>
      </c>
      <c r="H150" s="100">
        <f>COUNTIF($J150:$AVV150,"T")</f>
        <v>1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33"/>
      <c r="AW150" s="33"/>
      <c r="AX150" s="33"/>
      <c r="AY150" s="33"/>
      <c r="AZ150" s="33"/>
      <c r="BA150" s="33"/>
      <c r="BB150" s="33"/>
      <c r="BC150" s="33"/>
      <c r="BD150" s="33"/>
      <c r="BE150" s="33"/>
      <c r="BF150" s="33"/>
      <c r="BG150" s="33"/>
      <c r="BH150" s="33"/>
      <c r="BI150" s="33"/>
      <c r="BJ150" s="33"/>
      <c r="BK150" s="33"/>
      <c r="BL150" s="33"/>
      <c r="BM150" s="33"/>
      <c r="BN150" s="33"/>
      <c r="BO150" s="33"/>
      <c r="BP150" s="33"/>
      <c r="BQ150" s="33"/>
      <c r="BR150" s="33"/>
      <c r="BS150" s="33"/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hidden="1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t="str" cm="1">
        <f t="array" ref="E151">IFERROR(INDEX($J$5:$AVX$5, _xlfn.AGGREGATE(15,6, COLUMN(J151:AVX151)-COLUMN(J151)+1 / (J151:AVX151="T"), F151)), "")</f>
        <v/>
      </c>
      <c r="F151" s="97">
        <f>$A$2</f>
        <v>2</v>
      </c>
      <c r="G151" s="35" cm="1">
        <f t="array" ref="G151">IFERROR(INDEX($J$5:$AVW$5,_xlfn.AGGREGATE(14,6,(COLUMN($J151:$AVW151)-COLUMN($J151)+1)/($J151:$AVW151="T"),1)),"")</f>
        <v>45971</v>
      </c>
      <c r="H151" s="100">
        <f>COUNTIF($J151:$AVV151,"T")</f>
        <v>1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33"/>
      <c r="AW151" s="33"/>
      <c r="AX151" s="33"/>
      <c r="AY151" s="33"/>
      <c r="AZ151" s="33"/>
      <c r="BA151" s="33"/>
      <c r="BB151" s="33"/>
      <c r="BC151" s="33"/>
      <c r="BD151" s="33"/>
      <c r="BE151" s="33"/>
      <c r="BF151" s="33"/>
      <c r="BG151" s="33"/>
      <c r="BH151" s="33"/>
      <c r="BI151" s="33"/>
      <c r="BJ151" s="33"/>
      <c r="BK151" s="33"/>
      <c r="BL151" s="33"/>
      <c r="BM151" s="33"/>
      <c r="BN151" s="33"/>
      <c r="BO151" s="33"/>
      <c r="BP151" s="33"/>
      <c r="BQ151" s="33"/>
      <c r="BR151" s="33"/>
      <c r="BS151" s="33"/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hidden="1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t="str" cm="1">
        <f t="array" ref="E152">IFERROR(INDEX($J$5:$AVX$5, _xlfn.AGGREGATE(15,6, COLUMN(J152:AVX152)-COLUMN(J152)+1 / (J152:AVX152="T"), F152)), "")</f>
        <v/>
      </c>
      <c r="F152" s="97">
        <f>$A$2</f>
        <v>2</v>
      </c>
      <c r="G152" s="35" cm="1">
        <f t="array" ref="G152">IFERROR(INDEX($J$5:$AVW$5,_xlfn.AGGREGATE(14,6,(COLUMN($J152:$AVW152)-COLUMN($J152)+1)/($J152:$AVW152="T"),1)),"")</f>
        <v>45972</v>
      </c>
      <c r="H152" s="100">
        <f>COUNTIF($J152:$AVV152,"T")</f>
        <v>1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33"/>
      <c r="AX152" s="33"/>
      <c r="AY152" s="33"/>
      <c r="AZ152" s="33"/>
      <c r="BA152" s="33"/>
      <c r="BB152" s="33"/>
      <c r="BC152" s="33"/>
      <c r="BD152" s="33"/>
      <c r="BE152" s="33"/>
      <c r="BF152" s="33"/>
      <c r="BG152" s="33"/>
      <c r="BH152" s="33"/>
      <c r="BI152" s="33"/>
      <c r="BJ152" s="33"/>
      <c r="BK152" s="33"/>
      <c r="BL152" s="33"/>
      <c r="BM152" s="33"/>
      <c r="BN152" s="33"/>
      <c r="BO152" s="33"/>
      <c r="BP152" s="33"/>
      <c r="BQ152" s="33"/>
      <c r="BR152" s="33"/>
      <c r="BS152" s="33"/>
      <c r="BT152" s="33"/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hidden="1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t="str" cm="1">
        <f t="array" ref="E153">IFERROR(INDEX($J$5:$AVX$5, _xlfn.AGGREGATE(15,6, COLUMN(J153:AVX153)-COLUMN(J153)+1 / (J153:AVX153="T"), F153)), "")</f>
        <v/>
      </c>
      <c r="F153" s="97">
        <f>$A$2</f>
        <v>2</v>
      </c>
      <c r="G153" s="35" cm="1">
        <f t="array" ref="G153">IFERROR(INDEX($J$5:$AVW$5,_xlfn.AGGREGATE(14,6,(COLUMN($J153:$AVW153)-COLUMN($J153)+1)/($J153:$AVW153="T"),1)),"")</f>
        <v>45972</v>
      </c>
      <c r="H153" s="100">
        <f>COUNTIF($J153:$AVV153,"T")</f>
        <v>1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33"/>
      <c r="AX153" s="33"/>
      <c r="AY153" s="33"/>
      <c r="AZ153" s="33"/>
      <c r="BA153" s="33"/>
      <c r="BB153" s="33"/>
      <c r="BC153" s="33"/>
      <c r="BD153" s="33"/>
      <c r="BE153" s="33"/>
      <c r="BF153" s="33"/>
      <c r="BG153" s="33"/>
      <c r="BH153" s="33"/>
      <c r="BI153" s="33"/>
      <c r="BJ153" s="33"/>
      <c r="BK153" s="33"/>
      <c r="BL153" s="33"/>
      <c r="BM153" s="33"/>
      <c r="BN153" s="33"/>
      <c r="BO153" s="33"/>
      <c r="BP153" s="33"/>
      <c r="BQ153" s="33"/>
      <c r="BR153" s="33"/>
      <c r="BS153" s="33"/>
      <c r="BT153" s="33"/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hidden="1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t="str" cm="1">
        <f t="array" ref="E154">IFERROR(INDEX($J$5:$AVX$5, _xlfn.AGGREGATE(15,6, COLUMN(J154:AVX154)-COLUMN(J154)+1 / (J154:AVX154="T"), F154)), "")</f>
        <v/>
      </c>
      <c r="F154" s="97">
        <f>$A$2</f>
        <v>2</v>
      </c>
      <c r="G154" s="35" cm="1">
        <f t="array" ref="G154">IFERROR(INDEX($J$5:$AVW$5,_xlfn.AGGREGATE(14,6,(COLUMN($J154:$AVW154)-COLUMN($J154)+1)/($J154:$AVW154="T"),1)),"")</f>
        <v>45972</v>
      </c>
      <c r="H154" s="100">
        <f>COUNTIF($J154:$AVV154,"T")</f>
        <v>1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33"/>
      <c r="AX154" s="33"/>
      <c r="AY154" s="33"/>
      <c r="AZ154" s="33"/>
      <c r="BA154" s="33"/>
      <c r="BB154" s="33"/>
      <c r="BC154" s="33"/>
      <c r="BD154" s="33"/>
      <c r="BE154" s="33"/>
      <c r="BF154" s="33"/>
      <c r="BG154" s="33"/>
      <c r="BH154" s="33"/>
      <c r="BI154" s="33"/>
      <c r="BJ154" s="33"/>
      <c r="BK154" s="33"/>
      <c r="BL154" s="33"/>
      <c r="BM154" s="33"/>
      <c r="BN154" s="33"/>
      <c r="BO154" s="33"/>
      <c r="BP154" s="33"/>
      <c r="BQ154" s="33"/>
      <c r="BR154" s="33"/>
      <c r="BS154" s="33"/>
      <c r="BT154" s="33"/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hidden="1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t="str" cm="1">
        <f t="array" ref="E155">IFERROR(INDEX($J$5:$AVX$5, _xlfn.AGGREGATE(15,6, COLUMN(J155:AVX155)-COLUMN(J155)+1 / (J155:AVX155="T"), F155)), "")</f>
        <v/>
      </c>
      <c r="F155" s="97">
        <f>$A$2</f>
        <v>2</v>
      </c>
      <c r="G155" s="35" cm="1">
        <f t="array" ref="G155">IFERROR(INDEX($J$5:$AVW$5,_xlfn.AGGREGATE(14,6,(COLUMN($J155:$AVW155)-COLUMN($J155)+1)/($J155:$AVW155="T"),1)),"")</f>
        <v>45972</v>
      </c>
      <c r="H155" s="100">
        <f>COUNTIF($J155:$AVV155,"T")</f>
        <v>1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33"/>
      <c r="AX155" s="33"/>
      <c r="AY155" s="33"/>
      <c r="AZ155" s="33"/>
      <c r="BA155" s="33"/>
      <c r="BB155" s="33"/>
      <c r="BC155" s="33"/>
      <c r="BD155" s="33"/>
      <c r="BE155" s="33"/>
      <c r="BF155" s="33"/>
      <c r="BG155" s="33"/>
      <c r="BH155" s="33"/>
      <c r="BI155" s="33"/>
      <c r="BJ155" s="33"/>
      <c r="BK155" s="33"/>
      <c r="BL155" s="33"/>
      <c r="BM155" s="33"/>
      <c r="BN155" s="33"/>
      <c r="BO155" s="33"/>
      <c r="BP155" s="33"/>
      <c r="BQ155" s="33"/>
      <c r="BR155" s="33"/>
      <c r="BS155" s="33"/>
      <c r="BT155" s="33"/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hidden="1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t="str" cm="1">
        <f t="array" ref="E156">IFERROR(INDEX($J$5:$AVX$5, _xlfn.AGGREGATE(15,6, COLUMN(J156:AVX156)-COLUMN(J156)+1 / (J156:AVX156="T"), F156)), "")</f>
        <v/>
      </c>
      <c r="F156" s="97">
        <f>$A$2</f>
        <v>2</v>
      </c>
      <c r="G156" s="35" cm="1">
        <f t="array" ref="G156">IFERROR(INDEX($J$5:$AVW$5,_xlfn.AGGREGATE(14,6,(COLUMN($J156:$AVW156)-COLUMN($J156)+1)/($J156:$AVW156="T"),1)),"")</f>
        <v>45972</v>
      </c>
      <c r="H156" s="100">
        <f>COUNTIF($J156:$AVV156,"T")</f>
        <v>1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33"/>
      <c r="AX156" s="33"/>
      <c r="AY156" s="33"/>
      <c r="AZ156" s="33"/>
      <c r="BA156" s="33"/>
      <c r="BB156" s="33"/>
      <c r="BC156" s="33"/>
      <c r="BD156" s="33"/>
      <c r="BE156" s="33"/>
      <c r="BF156" s="33"/>
      <c r="BG156" s="33"/>
      <c r="BH156" s="33"/>
      <c r="BI156" s="33"/>
      <c r="BJ156" s="33"/>
      <c r="BK156" s="33"/>
      <c r="BL156" s="33"/>
      <c r="BM156" s="33"/>
      <c r="BN156" s="33"/>
      <c r="BO156" s="33"/>
      <c r="BP156" s="33"/>
      <c r="BQ156" s="33"/>
      <c r="BR156" s="33"/>
      <c r="BS156" s="33"/>
      <c r="BT156" s="33"/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hidden="1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t="str" cm="1">
        <f t="array" ref="E157">IFERROR(INDEX($J$5:$AVX$5, _xlfn.AGGREGATE(15,6, COLUMN(J157:AVX157)-COLUMN(J157)+1 / (J157:AVX157="T"), F157)), "")</f>
        <v/>
      </c>
      <c r="F157" s="97">
        <f>$A$2</f>
        <v>2</v>
      </c>
      <c r="G157" s="35" cm="1">
        <f t="array" ref="G157">IFERROR(INDEX($J$5:$AVW$5,_xlfn.AGGREGATE(14,6,(COLUMN($J157:$AVW157)-COLUMN($J157)+1)/($J157:$AVW157="T"),1)),"")</f>
        <v>45972</v>
      </c>
      <c r="H157" s="100">
        <f>COUNTIF($J157:$AVV157,"T")</f>
        <v>1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33"/>
      <c r="AX157" s="33"/>
      <c r="AY157" s="33"/>
      <c r="AZ157" s="33"/>
      <c r="BA157" s="33"/>
      <c r="BB157" s="33"/>
      <c r="BC157" s="33"/>
      <c r="BD157" s="33"/>
      <c r="BE157" s="33"/>
      <c r="BF157" s="33"/>
      <c r="BG157" s="33"/>
      <c r="BH157" s="33"/>
      <c r="BI157" s="33"/>
      <c r="BJ157" s="33"/>
      <c r="BK157" s="33"/>
      <c r="BL157" s="33"/>
      <c r="BM157" s="33"/>
      <c r="BN157" s="33"/>
      <c r="BO157" s="33"/>
      <c r="BP157" s="33"/>
      <c r="BQ157" s="33"/>
      <c r="BR157" s="33"/>
      <c r="BS157" s="33"/>
      <c r="BT157" s="33"/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hidden="1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t="str" cm="1">
        <f t="array" ref="E158">IFERROR(INDEX($J$5:$AVX$5, _xlfn.AGGREGATE(15,6, COLUMN(J158:AVX158)-COLUMN(J158)+1 / (J158:AVX158="T"), F158)), "")</f>
        <v/>
      </c>
      <c r="F158" s="97">
        <f>$A$2</f>
        <v>2</v>
      </c>
      <c r="G158" s="35" cm="1">
        <f t="array" ref="G158">IFERROR(INDEX($J$5:$AVW$5,_xlfn.AGGREGATE(14,6,(COLUMN($J158:$AVW158)-COLUMN($J158)+1)/($J158:$AVW158="T"),1)),"")</f>
        <v>45972</v>
      </c>
      <c r="H158" s="100">
        <f>COUNTIF($J158:$AVV158,"T")</f>
        <v>1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33"/>
      <c r="AX158" s="33"/>
      <c r="AY158" s="33"/>
      <c r="AZ158" s="33"/>
      <c r="BA158" s="33"/>
      <c r="BB158" s="33"/>
      <c r="BC158" s="33"/>
      <c r="BD158" s="33"/>
      <c r="BE158" s="33"/>
      <c r="BF158" s="33"/>
      <c r="BG158" s="33"/>
      <c r="BH158" s="33"/>
      <c r="BI158" s="33"/>
      <c r="BJ158" s="33"/>
      <c r="BK158" s="33"/>
      <c r="BL158" s="33"/>
      <c r="BM158" s="33"/>
      <c r="BN158" s="33"/>
      <c r="BO158" s="33"/>
      <c r="BP158" s="33"/>
      <c r="BQ158" s="33"/>
      <c r="BR158" s="33"/>
      <c r="BS158" s="33"/>
      <c r="BT158" s="33"/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hidden="1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t="str" cm="1">
        <f t="array" ref="E159">IFERROR(INDEX($J$5:$AVX$5, _xlfn.AGGREGATE(15,6, COLUMN(J159:AVX159)-COLUMN(J159)+1 / (J159:AVX159="T"), F159)), "")</f>
        <v/>
      </c>
      <c r="F159" s="97">
        <f>$A$2</f>
        <v>2</v>
      </c>
      <c r="G159" s="35" cm="1">
        <f t="array" ref="G159">IFERROR(INDEX($J$5:$AVW$5,_xlfn.AGGREGATE(14,6,(COLUMN($J159:$AVW159)-COLUMN($J159)+1)/($J159:$AVW159="T"),1)),"")</f>
        <v>45973</v>
      </c>
      <c r="H159" s="100">
        <f>COUNTIF($J159:$AVV159,"T")</f>
        <v>1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33"/>
      <c r="AY159" s="33"/>
      <c r="AZ159" s="33"/>
      <c r="BA159" s="33"/>
      <c r="BB159" s="33"/>
      <c r="BC159" s="33"/>
      <c r="BD159" s="33"/>
      <c r="BE159" s="33"/>
      <c r="BF159" s="33"/>
      <c r="BG159" s="33"/>
      <c r="BH159" s="33"/>
      <c r="BI159" s="33"/>
      <c r="BJ159" s="33"/>
      <c r="BK159" s="33"/>
      <c r="BL159" s="33"/>
      <c r="BM159" s="33"/>
      <c r="BN159" s="33"/>
      <c r="BO159" s="33"/>
      <c r="BP159" s="33"/>
      <c r="BQ159" s="33"/>
      <c r="BR159" s="33"/>
      <c r="BS159" s="33"/>
      <c r="BT159" s="33"/>
      <c r="BU159" s="33"/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hidden="1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t="str" cm="1">
        <f t="array" ref="E160">IFERROR(INDEX($J$5:$AVX$5, _xlfn.AGGREGATE(15,6, COLUMN(J160:AVX160)-COLUMN(J160)+1 / (J160:AVX160="T"), F160)), "")</f>
        <v/>
      </c>
      <c r="F160" s="97">
        <f>$A$2</f>
        <v>2</v>
      </c>
      <c r="G160" s="35" cm="1">
        <f t="array" ref="G160">IFERROR(INDEX($J$5:$AVW$5,_xlfn.AGGREGATE(14,6,(COLUMN($J160:$AVW160)-COLUMN($J160)+1)/($J160:$AVW160="T"),1)),"")</f>
        <v>45973</v>
      </c>
      <c r="H160" s="100">
        <f>COUNTIF($J160:$AVV160,"T")</f>
        <v>1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33"/>
      <c r="AY160" s="33"/>
      <c r="AZ160" s="33"/>
      <c r="BA160" s="33"/>
      <c r="BB160" s="33"/>
      <c r="BC160" s="33"/>
      <c r="BD160" s="33"/>
      <c r="BE160" s="33"/>
      <c r="BF160" s="33"/>
      <c r="BG160" s="33"/>
      <c r="BH160" s="33"/>
      <c r="BI160" s="33"/>
      <c r="BJ160" s="33"/>
      <c r="BK160" s="33"/>
      <c r="BL160" s="33"/>
      <c r="BM160" s="33"/>
      <c r="BN160" s="33"/>
      <c r="BO160" s="33"/>
      <c r="BP160" s="33"/>
      <c r="BQ160" s="33"/>
      <c r="BR160" s="33"/>
      <c r="BS160" s="33"/>
      <c r="BT160" s="33"/>
      <c r="BU160" s="33"/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hidden="1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t="str" cm="1">
        <f t="array" ref="E161">IFERROR(INDEX($J$5:$AVX$5, _xlfn.AGGREGATE(15,6, COLUMN(J161:AVX161)-COLUMN(J161)+1 / (J161:AVX161="T"), F161)), "")</f>
        <v/>
      </c>
      <c r="F161" s="97">
        <f>$A$2</f>
        <v>2</v>
      </c>
      <c r="G161" s="35" cm="1">
        <f t="array" ref="G161">IFERROR(INDEX($J$5:$AVW$5,_xlfn.AGGREGATE(14,6,(COLUMN($J161:$AVW161)-COLUMN($J161)+1)/($J161:$AVW161="T"),1)),"")</f>
        <v>45973</v>
      </c>
      <c r="H161" s="100">
        <f>COUNTIF($J161:$AVV161,"T")</f>
        <v>1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33"/>
      <c r="AY161" s="33"/>
      <c r="AZ161" s="33"/>
      <c r="BA161" s="33"/>
      <c r="BB161" s="33"/>
      <c r="BC161" s="33"/>
      <c r="BD161" s="33"/>
      <c r="BE161" s="33"/>
      <c r="BF161" s="33"/>
      <c r="BG161" s="33"/>
      <c r="BH161" s="33"/>
      <c r="BI161" s="33"/>
      <c r="BJ161" s="33"/>
      <c r="BK161" s="33"/>
      <c r="BL161" s="33"/>
      <c r="BM161" s="33"/>
      <c r="BN161" s="33"/>
      <c r="BO161" s="33"/>
      <c r="BP161" s="33"/>
      <c r="BQ161" s="33"/>
      <c r="BR161" s="33"/>
      <c r="BS161" s="33"/>
      <c r="BT161" s="33"/>
      <c r="BU161" s="33"/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hidden="1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t="str" cm="1">
        <f t="array" ref="E162">IFERROR(INDEX($J$5:$AVX$5, _xlfn.AGGREGATE(15,6, COLUMN(J162:AVX162)-COLUMN(J162)+1 / (J162:AVX162="T"), F162)), "")</f>
        <v/>
      </c>
      <c r="F162" s="97">
        <f>$A$2</f>
        <v>2</v>
      </c>
      <c r="G162" s="35" cm="1">
        <f t="array" ref="G162">IFERROR(INDEX($J$5:$AVW$5,_xlfn.AGGREGATE(14,6,(COLUMN($J162:$AVW162)-COLUMN($J162)+1)/($J162:$AVW162="T"),1)),"")</f>
        <v>45973</v>
      </c>
      <c r="H162" s="100">
        <f>COUNTIF($J162:$AVV162,"T")</f>
        <v>1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33"/>
      <c r="AY162" s="33"/>
      <c r="AZ162" s="33"/>
      <c r="BA162" s="33"/>
      <c r="BB162" s="33"/>
      <c r="BC162" s="33"/>
      <c r="BD162" s="33"/>
      <c r="BE162" s="33"/>
      <c r="BF162" s="33"/>
      <c r="BG162" s="33"/>
      <c r="BH162" s="33"/>
      <c r="BI162" s="33"/>
      <c r="BJ162" s="33"/>
      <c r="BK162" s="33"/>
      <c r="BL162" s="33"/>
      <c r="BM162" s="33"/>
      <c r="BN162" s="33"/>
      <c r="BO162" s="33"/>
      <c r="BP162" s="33"/>
      <c r="BQ162" s="33"/>
      <c r="BR162" s="33"/>
      <c r="BS162" s="33"/>
      <c r="BT162" s="33"/>
      <c r="BU162" s="33"/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hidden="1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t="str" cm="1">
        <f t="array" ref="E163">IFERROR(INDEX($J$5:$AVX$5, _xlfn.AGGREGATE(15,6, COLUMN(J163:AVX163)-COLUMN(J163)+1 / (J163:AVX163="T"), F163)), "")</f>
        <v/>
      </c>
      <c r="F163" s="97">
        <f>$A$2</f>
        <v>2</v>
      </c>
      <c r="G163" s="35" cm="1">
        <f t="array" ref="G163">IFERROR(INDEX($J$5:$AVW$5,_xlfn.AGGREGATE(14,6,(COLUMN($J163:$AVW163)-COLUMN($J163)+1)/($J163:$AVW163="T"),1)),"")</f>
        <v>45973</v>
      </c>
      <c r="H163" s="100">
        <f>COUNTIF($J163:$AVV163,"T")</f>
        <v>1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33"/>
      <c r="AY163" s="33"/>
      <c r="AZ163" s="33"/>
      <c r="BA163" s="33"/>
      <c r="BB163" s="33"/>
      <c r="BC163" s="33"/>
      <c r="BD163" s="33"/>
      <c r="BE163" s="33"/>
      <c r="BF163" s="33"/>
      <c r="BG163" s="33"/>
      <c r="BH163" s="33"/>
      <c r="BI163" s="33"/>
      <c r="BJ163" s="33"/>
      <c r="BK163" s="33"/>
      <c r="BL163" s="33"/>
      <c r="BM163" s="33"/>
      <c r="BN163" s="33"/>
      <c r="BO163" s="33"/>
      <c r="BP163" s="33"/>
      <c r="BQ163" s="33"/>
      <c r="BR163" s="33"/>
      <c r="BS163" s="33"/>
      <c r="BT163" s="33"/>
      <c r="BU163" s="33"/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hidden="1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t="str" cm="1">
        <f t="array" ref="E164">IFERROR(INDEX($J$5:$AVX$5, _xlfn.AGGREGATE(15,6, COLUMN(J164:AVX164)-COLUMN(J164)+1 / (J164:AVX164="T"), F164)), "")</f>
        <v/>
      </c>
      <c r="F164" s="97">
        <f>$A$2</f>
        <v>2</v>
      </c>
      <c r="G164" s="35" cm="1">
        <f t="array" ref="G164">IFERROR(INDEX($J$5:$AVW$5,_xlfn.AGGREGATE(14,6,(COLUMN($J164:$AVW164)-COLUMN($J164)+1)/($J164:$AVW164="T"),1)),"")</f>
        <v>45973</v>
      </c>
      <c r="H164" s="100">
        <f>COUNTIF($J164:$AVV164,"T")</f>
        <v>1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33"/>
      <c r="AY164" s="33"/>
      <c r="AZ164" s="33"/>
      <c r="BA164" s="33"/>
      <c r="BB164" s="33"/>
      <c r="BC164" s="33"/>
      <c r="BD164" s="33"/>
      <c r="BE164" s="33"/>
      <c r="BF164" s="33"/>
      <c r="BG164" s="33"/>
      <c r="BH164" s="33"/>
      <c r="BI164" s="33"/>
      <c r="BJ164" s="33"/>
      <c r="BK164" s="33"/>
      <c r="BL164" s="33"/>
      <c r="BM164" s="33"/>
      <c r="BN164" s="33"/>
      <c r="BO164" s="33"/>
      <c r="BP164" s="33"/>
      <c r="BQ164" s="33"/>
      <c r="BR164" s="33"/>
      <c r="BS164" s="33"/>
      <c r="BT164" s="33"/>
      <c r="BU164" s="33"/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hidden="1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t="str" cm="1">
        <f t="array" ref="E165">IFERROR(INDEX($J$5:$AVX$5, _xlfn.AGGREGATE(15,6, COLUMN(J165:AVX165)-COLUMN(J165)+1 / (J165:AVX165="T"), F165)), "")</f>
        <v/>
      </c>
      <c r="F165" s="97">
        <f>$A$2</f>
        <v>2</v>
      </c>
      <c r="G165" s="35" cm="1">
        <f t="array" ref="G165">IFERROR(INDEX($J$5:$AVW$5,_xlfn.AGGREGATE(14,6,(COLUMN($J165:$AVW165)-COLUMN($J165)+1)/($J165:$AVW165="T"),1)),"")</f>
        <v>45973</v>
      </c>
      <c r="H165" s="100">
        <f>COUNTIF($J165:$AVV165,"T")</f>
        <v>1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33"/>
      <c r="AY165" s="33"/>
      <c r="AZ165" s="33"/>
      <c r="BA165" s="33"/>
      <c r="BB165" s="33"/>
      <c r="BC165" s="33"/>
      <c r="BD165" s="33"/>
      <c r="BE165" s="33"/>
      <c r="BF165" s="33"/>
      <c r="BG165" s="33"/>
      <c r="BH165" s="33"/>
      <c r="BI165" s="33"/>
      <c r="BJ165" s="33"/>
      <c r="BK165" s="33"/>
      <c r="BL165" s="33"/>
      <c r="BM165" s="33"/>
      <c r="BN165" s="33"/>
      <c r="BO165" s="33"/>
      <c r="BP165" s="33"/>
      <c r="BQ165" s="33"/>
      <c r="BR165" s="33"/>
      <c r="BS165" s="33"/>
      <c r="BT165" s="33"/>
      <c r="BU165" s="33"/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hidden="1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97">
        <f>$A$2</f>
        <v>2</v>
      </c>
      <c r="G166" s="35" t="str" cm="1">
        <f t="array" ref="G166">IFERROR(INDEX($J$5:$AVW$5,_xlfn.AGGREGATE(14,6,(COLUMN($J166:$AVW166)-COLUMN($J166)+1)/($J166:$AVW166="T"),1)),"")</f>
        <v/>
      </c>
      <c r="H166" s="100">
        <f>COUNTIF($J166:$AVV166,"T")</f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hidden="1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97">
        <f>$A$2</f>
        <v>2</v>
      </c>
      <c r="G167" s="35" t="str" cm="1">
        <f t="array" ref="G167">IFERROR(INDEX($J$5:$AVW$5,_xlfn.AGGREGATE(14,6,(COLUMN($J167:$AVW167)-COLUMN($J167)+1)/($J167:$AVW167="T"),1)),"")</f>
        <v/>
      </c>
      <c r="H167" s="100">
        <f>COUNTIF($J167:$AVV167,"T")</f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hidden="1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t="str" cm="1">
        <f t="array" ref="E168">IFERROR(INDEX($J$5:$AVX$5, _xlfn.AGGREGATE(15,6, COLUMN(J168:AVX168)-COLUMN(J168)+1 / (J168:AVX168="T"), F168)), "")</f>
        <v/>
      </c>
      <c r="F168" s="97">
        <f>$A$2</f>
        <v>2</v>
      </c>
      <c r="G168" s="35" cm="1">
        <f t="array" ref="G168">IFERROR(INDEX($J$5:$AVW$5,_xlfn.AGGREGATE(14,6,(COLUMN($J168:$AVW168)-COLUMN($J168)+1)/($J168:$AVW168="T"),1)),"")</f>
        <v>45977</v>
      </c>
      <c r="H168" s="100">
        <f>COUNTIF($J168:$AVV168,"T")</f>
        <v>1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33"/>
      <c r="BC168" s="33"/>
      <c r="BD168" s="33"/>
      <c r="BE168" s="33"/>
      <c r="BF168" s="33"/>
      <c r="BG168" s="33"/>
      <c r="BH168" s="33"/>
      <c r="BI168" s="33"/>
      <c r="BJ168" s="33"/>
      <c r="BK168" s="33"/>
      <c r="BL168" s="33"/>
      <c r="BM168" s="33"/>
      <c r="BN168" s="33"/>
      <c r="BO168" s="33"/>
      <c r="BP168" s="33"/>
      <c r="BQ168" s="33"/>
      <c r="BR168" s="33"/>
      <c r="BS168" s="33"/>
      <c r="BT168" s="33"/>
      <c r="BU168" s="33"/>
      <c r="BV168" s="33"/>
      <c r="BW168" s="33"/>
      <c r="BX168" s="33"/>
      <c r="BY168" s="33"/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hidden="1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t="str" cm="1">
        <f t="array" ref="E169">IFERROR(INDEX($J$5:$AVX$5, _xlfn.AGGREGATE(15,6, COLUMN(J169:AVX169)-COLUMN(J169)+1 / (J169:AVX169="T"), F169)), "")</f>
        <v/>
      </c>
      <c r="F169" s="97">
        <f>$A$2</f>
        <v>2</v>
      </c>
      <c r="G169" s="35" cm="1">
        <f t="array" ref="G169">IFERROR(INDEX($J$5:$AVW$5,_xlfn.AGGREGATE(14,6,(COLUMN($J169:$AVW169)-COLUMN($J169)+1)/($J169:$AVW169="T"),1)),"")</f>
        <v>45977</v>
      </c>
      <c r="H169" s="100">
        <f>COUNTIF($J169:$AVV169,"T")</f>
        <v>1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33"/>
      <c r="BC169" s="33"/>
      <c r="BD169" s="33"/>
      <c r="BE169" s="33"/>
      <c r="BF169" s="33"/>
      <c r="BG169" s="33"/>
      <c r="BH169" s="33"/>
      <c r="BI169" s="33"/>
      <c r="BJ169" s="33"/>
      <c r="BK169" s="33"/>
      <c r="BL169" s="33"/>
      <c r="BM169" s="33"/>
      <c r="BN169" s="33"/>
      <c r="BO169" s="33"/>
      <c r="BP169" s="33"/>
      <c r="BQ169" s="33"/>
      <c r="BR169" s="33"/>
      <c r="BS169" s="33"/>
      <c r="BT169" s="33"/>
      <c r="BU169" s="33"/>
      <c r="BV169" s="33"/>
      <c r="BW169" s="33"/>
      <c r="BX169" s="33"/>
      <c r="BY169" s="33"/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hidden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t="str" cm="1">
        <f t="array" ref="E170">IFERROR(INDEX($J$5:$AVX$5, _xlfn.AGGREGATE(15,6, COLUMN(J170:AVX170)-COLUMN(J170)+1 / (J170:AVX170="T"), F170)), "")</f>
        <v/>
      </c>
      <c r="F170" s="97">
        <f>$A$2</f>
        <v>2</v>
      </c>
      <c r="G170" s="35" cm="1">
        <f t="array" ref="G170">IFERROR(INDEX($J$5:$AVW$5,_xlfn.AGGREGATE(14,6,(COLUMN($J170:$AVW170)-COLUMN($J170)+1)/($J170:$AVW170="T"),1)),"")</f>
        <v>45977</v>
      </c>
      <c r="H170" s="100">
        <f>COUNTIF($J170:$AVV170,"T")</f>
        <v>1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33"/>
      <c r="BC170" s="33"/>
      <c r="BD170" s="33"/>
      <c r="BE170" s="33"/>
      <c r="BF170" s="33"/>
      <c r="BG170" s="33"/>
      <c r="BH170" s="33"/>
      <c r="BI170" s="33"/>
      <c r="BJ170" s="33"/>
      <c r="BK170" s="33"/>
      <c r="BL170" s="33"/>
      <c r="BM170" s="33"/>
      <c r="BN170" s="33"/>
      <c r="BO170" s="33"/>
      <c r="BP170" s="33"/>
      <c r="BQ170" s="33"/>
      <c r="BR170" s="33"/>
      <c r="BS170" s="33"/>
      <c r="BT170" s="33"/>
      <c r="BU170" s="33"/>
      <c r="BV170" s="33"/>
      <c r="BW170" s="33"/>
      <c r="BX170" s="33"/>
      <c r="BY170" s="33"/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hidden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t="str" cm="1">
        <f t="array" ref="E171">IFERROR(INDEX($J$5:$AVX$5, _xlfn.AGGREGATE(15,6, COLUMN(J171:AVX171)-COLUMN(J171)+1 / (J171:AVX171="T"), F171)), "")</f>
        <v/>
      </c>
      <c r="F171" s="97">
        <f>$A$2</f>
        <v>2</v>
      </c>
      <c r="G171" s="35" cm="1">
        <f t="array" ref="G171">IFERROR(INDEX($J$5:$AVW$5,_xlfn.AGGREGATE(14,6,(COLUMN($J171:$AVW171)-COLUMN($J171)+1)/($J171:$AVW171="T"),1)),"")</f>
        <v>45977</v>
      </c>
      <c r="H171" s="100">
        <f>COUNTIF($J171:$AVV171,"T")</f>
        <v>1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33"/>
      <c r="BC171" s="33"/>
      <c r="BD171" s="33"/>
      <c r="BE171" s="33"/>
      <c r="BF171" s="33"/>
      <c r="BG171" s="33"/>
      <c r="BH171" s="33"/>
      <c r="BI171" s="33"/>
      <c r="BJ171" s="33"/>
      <c r="BK171" s="33"/>
      <c r="BL171" s="33"/>
      <c r="BM171" s="33"/>
      <c r="BN171" s="33"/>
      <c r="BO171" s="33"/>
      <c r="BP171" s="33"/>
      <c r="BQ171" s="33"/>
      <c r="BR171" s="33"/>
      <c r="BS171" s="33"/>
      <c r="BT171" s="33"/>
      <c r="BU171" s="33"/>
      <c r="BV171" s="33"/>
      <c r="BW171" s="33"/>
      <c r="BX171" s="33"/>
      <c r="BY171" s="33"/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hidden="1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t="str" cm="1">
        <f t="array" ref="E172">IFERROR(INDEX($J$5:$AVX$5, _xlfn.AGGREGATE(15,6, COLUMN(J172:AVX172)-COLUMN(J172)+1 / (J172:AVX172="T"), F172)), "")</f>
        <v/>
      </c>
      <c r="F172" s="97">
        <f>$A$2</f>
        <v>2</v>
      </c>
      <c r="G172" s="35" cm="1">
        <f t="array" ref="G172">IFERROR(INDEX($J$5:$AVW$5,_xlfn.AGGREGATE(14,6,(COLUMN($J172:$AVW172)-COLUMN($J172)+1)/($J172:$AVW172="T"),1)),"")</f>
        <v>45977</v>
      </c>
      <c r="H172" s="100">
        <f>COUNTIF($J172:$AVV172,"T")</f>
        <v>1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33"/>
      <c r="BC172" s="33"/>
      <c r="BD172" s="33"/>
      <c r="BE172" s="33"/>
      <c r="BF172" s="33"/>
      <c r="BG172" s="33"/>
      <c r="BH172" s="33"/>
      <c r="BI172" s="33"/>
      <c r="BJ172" s="33"/>
      <c r="BK172" s="33"/>
      <c r="BL172" s="33"/>
      <c r="BM172" s="33"/>
      <c r="BN172" s="33"/>
      <c r="BO172" s="33"/>
      <c r="BP172" s="33"/>
      <c r="BQ172" s="33"/>
      <c r="BR172" s="33"/>
      <c r="BS172" s="33"/>
      <c r="BT172" s="33"/>
      <c r="BU172" s="33"/>
      <c r="BV172" s="33"/>
      <c r="BW172" s="33"/>
      <c r="BX172" s="33"/>
      <c r="BY172" s="33"/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hidden="1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t="str" cm="1">
        <f t="array" ref="E173">IFERROR(INDEX($J$5:$AVX$5, _xlfn.AGGREGATE(15,6, COLUMN(J173:AVX173)-COLUMN(J173)+1 / (J173:AVX173="T"), F173)), "")</f>
        <v/>
      </c>
      <c r="F173" s="97">
        <f>$A$2</f>
        <v>2</v>
      </c>
      <c r="G173" s="35" cm="1">
        <f t="array" ref="G173">IFERROR(INDEX($J$5:$AVW$5,_xlfn.AGGREGATE(14,6,(COLUMN($J173:$AVW173)-COLUMN($J173)+1)/($J173:$AVW173="T"),1)),"")</f>
        <v>45977</v>
      </c>
      <c r="H173" s="100">
        <f>COUNTIF($J173:$AVV173,"T")</f>
        <v>1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33"/>
      <c r="BC173" s="33"/>
      <c r="BD173" s="33"/>
      <c r="BE173" s="33"/>
      <c r="BF173" s="33"/>
      <c r="BG173" s="33"/>
      <c r="BH173" s="33"/>
      <c r="BI173" s="33"/>
      <c r="BJ173" s="33"/>
      <c r="BK173" s="33"/>
      <c r="BL173" s="33"/>
      <c r="BM173" s="33"/>
      <c r="BN173" s="33"/>
      <c r="BO173" s="33"/>
      <c r="BP173" s="33"/>
      <c r="BQ173" s="33"/>
      <c r="BR173" s="33"/>
      <c r="BS173" s="33"/>
      <c r="BT173" s="33"/>
      <c r="BU173" s="33"/>
      <c r="BV173" s="33"/>
      <c r="BW173" s="33"/>
      <c r="BX173" s="33"/>
      <c r="BY173" s="33"/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hidden="1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t="str" cm="1">
        <f t="array" ref="E174">IFERROR(INDEX($J$5:$AVX$5, _xlfn.AGGREGATE(15,6, COLUMN(J174:AVX174)-COLUMN(J174)+1 / (J174:AVX174="T"), F174)), "")</f>
        <v/>
      </c>
      <c r="F174" s="97">
        <f>$A$2</f>
        <v>2</v>
      </c>
      <c r="G174" s="35" cm="1">
        <f t="array" ref="G174">IFERROR(INDEX($J$5:$AVW$5,_xlfn.AGGREGATE(14,6,(COLUMN($J174:$AVW174)-COLUMN($J174)+1)/($J174:$AVW174="T"),1)),"")</f>
        <v>45977</v>
      </c>
      <c r="H174" s="100">
        <f>COUNTIF($J174:$AVV174,"T")</f>
        <v>1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33"/>
      <c r="BC174" s="33"/>
      <c r="BD174" s="33"/>
      <c r="BE174" s="33"/>
      <c r="BF174" s="33"/>
      <c r="BG174" s="33"/>
      <c r="BH174" s="33"/>
      <c r="BI174" s="33"/>
      <c r="BJ174" s="33"/>
      <c r="BK174" s="33"/>
      <c r="BL174" s="33"/>
      <c r="BM174" s="33"/>
      <c r="BN174" s="33"/>
      <c r="BO174" s="33"/>
      <c r="BP174" s="33"/>
      <c r="BQ174" s="33"/>
      <c r="BR174" s="33"/>
      <c r="BS174" s="33"/>
      <c r="BT174" s="33"/>
      <c r="BU174" s="33"/>
      <c r="BV174" s="33"/>
      <c r="BW174" s="33"/>
      <c r="BX174" s="33"/>
      <c r="BY174" s="33"/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hidden="1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t="str" cm="1">
        <f t="array" ref="E175">IFERROR(INDEX($J$5:$AVX$5, _xlfn.AGGREGATE(15,6, COLUMN(J175:AVX175)-COLUMN(J175)+1 / (J175:AVX175="T"), F175)), "")</f>
        <v/>
      </c>
      <c r="F175" s="97">
        <f>$A$2</f>
        <v>2</v>
      </c>
      <c r="G175" s="35" cm="1">
        <f t="array" ref="G175">IFERROR(INDEX($J$5:$AVW$5,_xlfn.AGGREGATE(14,6,(COLUMN($J175:$AVW175)-COLUMN($J175)+1)/($J175:$AVW175="T"),1)),"")</f>
        <v>45978</v>
      </c>
      <c r="H175" s="100">
        <f>COUNTIF($J175:$AVV175,"T")</f>
        <v>1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33"/>
      <c r="BD175" s="33"/>
      <c r="BE175" s="33"/>
      <c r="BF175" s="33"/>
      <c r="BG175" s="33"/>
      <c r="BH175" s="33"/>
      <c r="BI175" s="33"/>
      <c r="BJ175" s="33"/>
      <c r="BK175" s="33"/>
      <c r="BL175" s="33"/>
      <c r="BM175" s="33"/>
      <c r="BN175" s="33"/>
      <c r="BO175" s="33"/>
      <c r="BP175" s="33"/>
      <c r="BQ175" s="33"/>
      <c r="BR175" s="33"/>
      <c r="BS175" s="33"/>
      <c r="BT175" s="33"/>
      <c r="BU175" s="33"/>
      <c r="BV175" s="33"/>
      <c r="BW175" s="33"/>
      <c r="BX175" s="33"/>
      <c r="BY175" s="33"/>
      <c r="BZ175" s="33"/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hidden="1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t="str" cm="1">
        <f t="array" ref="E176">IFERROR(INDEX($J$5:$AVX$5, _xlfn.AGGREGATE(15,6, COLUMN(J176:AVX176)-COLUMN(J176)+1 / (J176:AVX176="T"), F176)), "")</f>
        <v/>
      </c>
      <c r="F176" s="97">
        <f>$A$2</f>
        <v>2</v>
      </c>
      <c r="G176" s="35" cm="1">
        <f t="array" ref="G176">IFERROR(INDEX($J$5:$AVW$5,_xlfn.AGGREGATE(14,6,(COLUMN($J176:$AVW176)-COLUMN($J176)+1)/($J176:$AVW176="T"),1)),"")</f>
        <v>45978</v>
      </c>
      <c r="H176" s="100">
        <f>COUNTIF($J176:$AVV176,"T")</f>
        <v>1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33"/>
      <c r="BD176" s="33"/>
      <c r="BE176" s="33"/>
      <c r="BF176" s="33"/>
      <c r="BG176" s="33"/>
      <c r="BH176" s="33"/>
      <c r="BI176" s="33"/>
      <c r="BJ176" s="33"/>
      <c r="BK176" s="33"/>
      <c r="BL176" s="33"/>
      <c r="BM176" s="33"/>
      <c r="BN176" s="33"/>
      <c r="BO176" s="33"/>
      <c r="BP176" s="33"/>
      <c r="BQ176" s="33"/>
      <c r="BR176" s="33"/>
      <c r="BS176" s="33"/>
      <c r="BT176" s="33"/>
      <c r="BU176" s="33"/>
      <c r="BV176" s="33"/>
      <c r="BW176" s="33"/>
      <c r="BX176" s="33"/>
      <c r="BY176" s="33"/>
      <c r="BZ176" s="33"/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hidden="1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t="str" cm="1">
        <f t="array" ref="E177">IFERROR(INDEX($J$5:$AVX$5, _xlfn.AGGREGATE(15,6, COLUMN(J177:AVX177)-COLUMN(J177)+1 / (J177:AVX177="T"), F177)), "")</f>
        <v/>
      </c>
      <c r="F177" s="97">
        <f>$A$2</f>
        <v>2</v>
      </c>
      <c r="G177" s="35" cm="1">
        <f t="array" ref="G177">IFERROR(INDEX($J$5:$AVW$5,_xlfn.AGGREGATE(14,6,(COLUMN($J177:$AVW177)-COLUMN($J177)+1)/($J177:$AVW177="T"),1)),"")</f>
        <v>45978</v>
      </c>
      <c r="H177" s="100">
        <f>COUNTIF($J177:$AVV177,"T")</f>
        <v>1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33"/>
      <c r="BD177" s="33"/>
      <c r="BE177" s="33"/>
      <c r="BF177" s="33"/>
      <c r="BG177" s="33"/>
      <c r="BH177" s="33"/>
      <c r="BI177" s="33"/>
      <c r="BJ177" s="33"/>
      <c r="BK177" s="33"/>
      <c r="BL177" s="33"/>
      <c r="BM177" s="33"/>
      <c r="BN177" s="33"/>
      <c r="BO177" s="33"/>
      <c r="BP177" s="33"/>
      <c r="BQ177" s="33"/>
      <c r="BR177" s="33"/>
      <c r="BS177" s="33"/>
      <c r="BT177" s="33"/>
      <c r="BU177" s="33"/>
      <c r="BV177" s="33"/>
      <c r="BW177" s="33"/>
      <c r="BX177" s="33"/>
      <c r="BY177" s="33"/>
      <c r="BZ177" s="33"/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hidden="1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t="str" cm="1">
        <f t="array" ref="E178">IFERROR(INDEX($J$5:$AVX$5, _xlfn.AGGREGATE(15,6, COLUMN(J178:AVX178)-COLUMN(J178)+1 / (J178:AVX178="T"), F178)), "")</f>
        <v/>
      </c>
      <c r="F178" s="97">
        <f>$A$2</f>
        <v>2</v>
      </c>
      <c r="G178" s="35" cm="1">
        <f t="array" ref="G178">IFERROR(INDEX($J$5:$AVW$5,_xlfn.AGGREGATE(14,6,(COLUMN($J178:$AVW178)-COLUMN($J178)+1)/($J178:$AVW178="T"),1)),"")</f>
        <v>45978</v>
      </c>
      <c r="H178" s="100">
        <f>COUNTIF($J178:$AVV178,"T")</f>
        <v>1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33"/>
      <c r="BD178" s="33"/>
      <c r="BE178" s="33"/>
      <c r="BF178" s="33"/>
      <c r="BG178" s="33"/>
      <c r="BH178" s="33"/>
      <c r="BI178" s="33"/>
      <c r="BJ178" s="33"/>
      <c r="BK178" s="33"/>
      <c r="BL178" s="33"/>
      <c r="BM178" s="33"/>
      <c r="BN178" s="33"/>
      <c r="BO178" s="33"/>
      <c r="BP178" s="33"/>
      <c r="BQ178" s="33"/>
      <c r="BR178" s="33"/>
      <c r="BS178" s="33"/>
      <c r="BT178" s="33"/>
      <c r="BU178" s="33"/>
      <c r="BV178" s="33"/>
      <c r="BW178" s="33"/>
      <c r="BX178" s="33"/>
      <c r="BY178" s="33"/>
      <c r="BZ178" s="33"/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hidden="1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t="str" cm="1">
        <f t="array" ref="E179">IFERROR(INDEX($J$5:$AVX$5, _xlfn.AGGREGATE(15,6, COLUMN(J179:AVX179)-COLUMN(J179)+1 / (J179:AVX179="T"), F179)), "")</f>
        <v/>
      </c>
      <c r="F179" s="97">
        <f>$A$2</f>
        <v>2</v>
      </c>
      <c r="G179" s="35" cm="1">
        <f t="array" ref="G179">IFERROR(INDEX($J$5:$AVW$5,_xlfn.AGGREGATE(14,6,(COLUMN($J179:$AVW179)-COLUMN($J179)+1)/($J179:$AVW179="T"),1)),"")</f>
        <v>45978</v>
      </c>
      <c r="H179" s="100">
        <f>COUNTIF($J179:$AVV179,"T")</f>
        <v>1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33"/>
      <c r="BD179" s="33"/>
      <c r="BE179" s="33"/>
      <c r="BF179" s="33"/>
      <c r="BG179" s="33"/>
      <c r="BH179" s="33"/>
      <c r="BI179" s="33"/>
      <c r="BJ179" s="33"/>
      <c r="BK179" s="33"/>
      <c r="BL179" s="33"/>
      <c r="BM179" s="33"/>
      <c r="BN179" s="33"/>
      <c r="BO179" s="33"/>
      <c r="BP179" s="33"/>
      <c r="BQ179" s="33"/>
      <c r="BR179" s="33"/>
      <c r="BS179" s="33"/>
      <c r="BT179" s="33"/>
      <c r="BU179" s="33"/>
      <c r="BV179" s="33"/>
      <c r="BW179" s="33"/>
      <c r="BX179" s="33"/>
      <c r="BY179" s="33"/>
      <c r="BZ179" s="33"/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hidden="1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t="str" cm="1">
        <f t="array" ref="E180">IFERROR(INDEX($J$5:$AVX$5, _xlfn.AGGREGATE(15,6, COLUMN(J180:AVX180)-COLUMN(J180)+1 / (J180:AVX180="T"), F180)), "")</f>
        <v/>
      </c>
      <c r="F180" s="97">
        <f>$A$2</f>
        <v>2</v>
      </c>
      <c r="G180" s="35" cm="1">
        <f t="array" ref="G180">IFERROR(INDEX($J$5:$AVW$5,_xlfn.AGGREGATE(14,6,(COLUMN($J180:$AVW180)-COLUMN($J180)+1)/($J180:$AVW180="T"),1)),"")</f>
        <v>45978</v>
      </c>
      <c r="H180" s="100">
        <f>COUNTIF($J180:$AVV180,"T")</f>
        <v>1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33"/>
      <c r="BD180" s="33"/>
      <c r="BE180" s="33"/>
      <c r="BF180" s="33"/>
      <c r="BG180" s="33"/>
      <c r="BH180" s="33"/>
      <c r="BI180" s="33"/>
      <c r="BJ180" s="33"/>
      <c r="BK180" s="33"/>
      <c r="BL180" s="33"/>
      <c r="BM180" s="33"/>
      <c r="BN180" s="33"/>
      <c r="BO180" s="33"/>
      <c r="BP180" s="33"/>
      <c r="BQ180" s="33"/>
      <c r="BR180" s="33"/>
      <c r="BS180" s="33"/>
      <c r="BT180" s="33"/>
      <c r="BU180" s="33"/>
      <c r="BV180" s="33"/>
      <c r="BW180" s="33"/>
      <c r="BX180" s="33"/>
      <c r="BY180" s="33"/>
      <c r="BZ180" s="33"/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hidden="1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t="str" cm="1">
        <f t="array" ref="E181">IFERROR(INDEX($J$5:$AVX$5, _xlfn.AGGREGATE(15,6, COLUMN(J181:AVX181)-COLUMN(J181)+1 / (J181:AVX181="T"), F181)), "")</f>
        <v/>
      </c>
      <c r="F181" s="97">
        <f>$A$2</f>
        <v>2</v>
      </c>
      <c r="G181" s="35" cm="1">
        <f t="array" ref="G181">IFERROR(INDEX($J$5:$AVW$5,_xlfn.AGGREGATE(14,6,(COLUMN($J181:$AVW181)-COLUMN($J181)+1)/($J181:$AVW181="T"),1)),"")</f>
        <v>45978</v>
      </c>
      <c r="H181" s="100">
        <f>COUNTIF($J181:$AVV181,"T")</f>
        <v>1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33"/>
      <c r="BD181" s="33"/>
      <c r="BE181" s="33"/>
      <c r="BF181" s="33"/>
      <c r="BG181" s="33"/>
      <c r="BH181" s="33"/>
      <c r="BI181" s="33"/>
      <c r="BJ181" s="33"/>
      <c r="BK181" s="33"/>
      <c r="BL181" s="33"/>
      <c r="BM181" s="33"/>
      <c r="BN181" s="33"/>
      <c r="BO181" s="33"/>
      <c r="BP181" s="33"/>
      <c r="BQ181" s="33"/>
      <c r="BR181" s="33"/>
      <c r="BS181" s="33"/>
      <c r="BT181" s="33"/>
      <c r="BU181" s="33"/>
      <c r="BV181" s="33"/>
      <c r="BW181" s="33"/>
      <c r="BX181" s="33"/>
      <c r="BY181" s="33"/>
      <c r="BZ181" s="33"/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hidden="1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t="str" cm="1">
        <f t="array" ref="E182">IFERROR(INDEX($J$5:$AVX$5, _xlfn.AGGREGATE(15,6, COLUMN(J182:AVX182)-COLUMN(J182)+1 / (J182:AVX182="T"), F182)), "")</f>
        <v/>
      </c>
      <c r="F182" s="97">
        <f>$A$2</f>
        <v>2</v>
      </c>
      <c r="G182" s="35" cm="1">
        <f t="array" ref="G182">IFERROR(INDEX($J$5:$AVW$5,_xlfn.AGGREGATE(14,6,(COLUMN($J182:$AVW182)-COLUMN($J182)+1)/($J182:$AVW182="T"),1)),"")</f>
        <v>45979</v>
      </c>
      <c r="H182" s="100">
        <f>COUNTIF($J182:$AVV182,"T")</f>
        <v>1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33"/>
      <c r="BE182" s="33"/>
      <c r="BF182" s="33"/>
      <c r="BG182" s="33"/>
      <c r="BH182" s="33"/>
      <c r="BI182" s="33"/>
      <c r="BJ182" s="33"/>
      <c r="BK182" s="33"/>
      <c r="BL182" s="33"/>
      <c r="BM182" s="33"/>
      <c r="BN182" s="33"/>
      <c r="BO182" s="33"/>
      <c r="BP182" s="33"/>
      <c r="BQ182" s="33"/>
      <c r="BR182" s="33"/>
      <c r="BS182" s="33"/>
      <c r="BT182" s="33"/>
      <c r="BU182" s="33"/>
      <c r="BV182" s="33"/>
      <c r="BW182" s="33"/>
      <c r="BX182" s="33"/>
      <c r="BY182" s="33"/>
      <c r="BZ182" s="33"/>
      <c r="CA182" s="33"/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hidden="1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t="str" cm="1">
        <f t="array" ref="E183">IFERROR(INDEX($J$5:$AVX$5, _xlfn.AGGREGATE(15,6, COLUMN(J183:AVX183)-COLUMN(J183)+1 / (J183:AVX183="T"), F183)), "")</f>
        <v/>
      </c>
      <c r="F183" s="97">
        <f>$A$2</f>
        <v>2</v>
      </c>
      <c r="G183" s="35" cm="1">
        <f t="array" ref="G183">IFERROR(INDEX($J$5:$AVW$5,_xlfn.AGGREGATE(14,6,(COLUMN($J183:$AVW183)-COLUMN($J183)+1)/($J183:$AVW183="T"),1)),"")</f>
        <v>45979</v>
      </c>
      <c r="H183" s="100">
        <f>COUNTIF($J183:$AVV183,"T")</f>
        <v>1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33"/>
      <c r="BE183" s="33"/>
      <c r="BF183" s="33"/>
      <c r="BG183" s="33"/>
      <c r="BH183" s="33"/>
      <c r="BI183" s="33"/>
      <c r="BJ183" s="33"/>
      <c r="BK183" s="33"/>
      <c r="BL183" s="33"/>
      <c r="BM183" s="33"/>
      <c r="BN183" s="33"/>
      <c r="BO183" s="33"/>
      <c r="BP183" s="33"/>
      <c r="BQ183" s="33"/>
      <c r="BR183" s="33"/>
      <c r="BS183" s="33"/>
      <c r="BT183" s="33"/>
      <c r="BU183" s="33"/>
      <c r="BV183" s="33"/>
      <c r="BW183" s="33"/>
      <c r="BX183" s="33"/>
      <c r="BY183" s="33"/>
      <c r="BZ183" s="33"/>
      <c r="CA183" s="33"/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hidden="1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t="str" cm="1">
        <f t="array" ref="E184">IFERROR(INDEX($J$5:$AVX$5, _xlfn.AGGREGATE(15,6, COLUMN(J184:AVX184)-COLUMN(J184)+1 / (J184:AVX184="T"), F184)), "")</f>
        <v/>
      </c>
      <c r="F184" s="97">
        <f>$A$2</f>
        <v>2</v>
      </c>
      <c r="G184" s="35" cm="1">
        <f t="array" ref="G184">IFERROR(INDEX($J$5:$AVW$5,_xlfn.AGGREGATE(14,6,(COLUMN($J184:$AVW184)-COLUMN($J184)+1)/($J184:$AVW184="T"),1)),"")</f>
        <v>45979</v>
      </c>
      <c r="H184" s="100">
        <f>COUNTIF($J184:$AVV184,"T")</f>
        <v>1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33"/>
      <c r="BE184" s="33"/>
      <c r="BF184" s="33"/>
      <c r="BG184" s="33"/>
      <c r="BH184" s="33"/>
      <c r="BI184" s="33"/>
      <c r="BJ184" s="33"/>
      <c r="BK184" s="33"/>
      <c r="BL184" s="33"/>
      <c r="BM184" s="33"/>
      <c r="BN184" s="33"/>
      <c r="BO184" s="33"/>
      <c r="BP184" s="33"/>
      <c r="BQ184" s="33"/>
      <c r="BR184" s="33"/>
      <c r="BS184" s="33"/>
      <c r="BT184" s="33"/>
      <c r="BU184" s="33"/>
      <c r="BV184" s="33"/>
      <c r="BW184" s="33"/>
      <c r="BX184" s="33"/>
      <c r="BY184" s="33"/>
      <c r="BZ184" s="33"/>
      <c r="CA184" s="33"/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hidden="1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t="str" cm="1">
        <f t="array" ref="E185">IFERROR(INDEX($J$5:$AVX$5, _xlfn.AGGREGATE(15,6, COLUMN(J185:AVX185)-COLUMN(J185)+1 / (J185:AVX185="T"), F185)), "")</f>
        <v/>
      </c>
      <c r="F185" s="97">
        <f>$A$2</f>
        <v>2</v>
      </c>
      <c r="G185" s="35" cm="1">
        <f t="array" ref="G185">IFERROR(INDEX($J$5:$AVW$5,_xlfn.AGGREGATE(14,6,(COLUMN($J185:$AVW185)-COLUMN($J185)+1)/($J185:$AVW185="T"),1)),"")</f>
        <v>45979</v>
      </c>
      <c r="H185" s="100">
        <f>COUNTIF($J185:$AVV185,"T")</f>
        <v>1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33"/>
      <c r="BE185" s="33"/>
      <c r="BF185" s="33"/>
      <c r="BG185" s="33"/>
      <c r="BH185" s="33"/>
      <c r="BI185" s="33"/>
      <c r="BJ185" s="33"/>
      <c r="BK185" s="33"/>
      <c r="BL185" s="33"/>
      <c r="BM185" s="33"/>
      <c r="BN185" s="33"/>
      <c r="BO185" s="33"/>
      <c r="BP185" s="33"/>
      <c r="BQ185" s="33"/>
      <c r="BR185" s="33"/>
      <c r="BS185" s="33"/>
      <c r="BT185" s="33"/>
      <c r="BU185" s="33"/>
      <c r="BV185" s="33"/>
      <c r="BW185" s="33"/>
      <c r="BX185" s="33"/>
      <c r="BY185" s="33"/>
      <c r="BZ185" s="33"/>
      <c r="CA185" s="33"/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hidden="1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t="str" cm="1">
        <f t="array" ref="E186">IFERROR(INDEX($J$5:$AVX$5, _xlfn.AGGREGATE(15,6, COLUMN(J186:AVX186)-COLUMN(J186)+1 / (J186:AVX186="T"), F186)), "")</f>
        <v/>
      </c>
      <c r="F186" s="97">
        <f>$A$2</f>
        <v>2</v>
      </c>
      <c r="G186" s="35" cm="1">
        <f t="array" ref="G186">IFERROR(INDEX($J$5:$AVW$5,_xlfn.AGGREGATE(14,6,(COLUMN($J186:$AVW186)-COLUMN($J186)+1)/($J186:$AVW186="T"),1)),"")</f>
        <v>45979</v>
      </c>
      <c r="H186" s="100">
        <f>COUNTIF($J186:$AVV186,"T")</f>
        <v>1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33"/>
      <c r="BE186" s="33"/>
      <c r="BF186" s="33"/>
      <c r="BG186" s="33"/>
      <c r="BH186" s="33"/>
      <c r="BI186" s="33"/>
      <c r="BJ186" s="33"/>
      <c r="BK186" s="33"/>
      <c r="BL186" s="33"/>
      <c r="BM186" s="33"/>
      <c r="BN186" s="33"/>
      <c r="BO186" s="33"/>
      <c r="BP186" s="33"/>
      <c r="BQ186" s="33"/>
      <c r="BR186" s="33"/>
      <c r="BS186" s="33"/>
      <c r="BT186" s="33"/>
      <c r="BU186" s="33"/>
      <c r="BV186" s="33"/>
      <c r="BW186" s="33"/>
      <c r="BX186" s="33"/>
      <c r="BY186" s="33"/>
      <c r="BZ186" s="33"/>
      <c r="CA186" s="33"/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hidden="1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t="str" cm="1">
        <f t="array" ref="E187">IFERROR(INDEX($J$5:$AVX$5, _xlfn.AGGREGATE(15,6, COLUMN(J187:AVX187)-COLUMN(J187)+1 / (J187:AVX187="T"), F187)), "")</f>
        <v/>
      </c>
      <c r="F187" s="97">
        <f>$A$2</f>
        <v>2</v>
      </c>
      <c r="G187" s="35" cm="1">
        <f t="array" ref="G187">IFERROR(INDEX($J$5:$AVW$5,_xlfn.AGGREGATE(14,6,(COLUMN($J187:$AVW187)-COLUMN($J187)+1)/($J187:$AVW187="T"),1)),"")</f>
        <v>45979</v>
      </c>
      <c r="H187" s="100">
        <f>COUNTIF($J187:$AVV187,"T")</f>
        <v>1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33"/>
      <c r="BE187" s="33"/>
      <c r="BF187" s="33"/>
      <c r="BG187" s="33"/>
      <c r="BH187" s="33"/>
      <c r="BI187" s="33"/>
      <c r="BJ187" s="33"/>
      <c r="BK187" s="33"/>
      <c r="BL187" s="33"/>
      <c r="BM187" s="33"/>
      <c r="BN187" s="33"/>
      <c r="BO187" s="33"/>
      <c r="BP187" s="33"/>
      <c r="BQ187" s="33"/>
      <c r="BR187" s="33"/>
      <c r="BS187" s="33"/>
      <c r="BT187" s="33"/>
      <c r="BU187" s="33"/>
      <c r="BV187" s="33"/>
      <c r="BW187" s="33"/>
      <c r="BX187" s="33"/>
      <c r="BY187" s="33"/>
      <c r="BZ187" s="33"/>
      <c r="CA187" s="33"/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hidden="1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t="str" cm="1">
        <f t="array" ref="E188">IFERROR(INDEX($J$5:$AVX$5, _xlfn.AGGREGATE(15,6, COLUMN(J188:AVX188)-COLUMN(J188)+1 / (J188:AVX188="T"), F188)), "")</f>
        <v/>
      </c>
      <c r="F188" s="97">
        <f>$A$2</f>
        <v>2</v>
      </c>
      <c r="G188" s="35" cm="1">
        <f t="array" ref="G188">IFERROR(INDEX($J$5:$AVW$5,_xlfn.AGGREGATE(14,6,(COLUMN($J188:$AVW188)-COLUMN($J188)+1)/($J188:$AVW188="T"),1)),"")</f>
        <v>45979</v>
      </c>
      <c r="H188" s="100">
        <f>COUNTIF($J188:$AVV188,"T")</f>
        <v>1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33"/>
      <c r="BE188" s="33"/>
      <c r="BF188" s="33"/>
      <c r="BG188" s="33"/>
      <c r="BH188" s="33"/>
      <c r="BI188" s="33"/>
      <c r="BJ188" s="33"/>
      <c r="BK188" s="33"/>
      <c r="BL188" s="33"/>
      <c r="BM188" s="33"/>
      <c r="BN188" s="33"/>
      <c r="BO188" s="33"/>
      <c r="BP188" s="33"/>
      <c r="BQ188" s="33"/>
      <c r="BR188" s="33"/>
      <c r="BS188" s="33"/>
      <c r="BT188" s="33"/>
      <c r="BU188" s="33"/>
      <c r="BV188" s="33"/>
      <c r="BW188" s="33"/>
      <c r="BX188" s="33"/>
      <c r="BY188" s="33"/>
      <c r="BZ188" s="33"/>
      <c r="CA188" s="33"/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hidden="1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97">
        <f>$A$2</f>
        <v>2</v>
      </c>
      <c r="G189" s="35" cm="1">
        <f t="array" ref="G189">IFERROR(INDEX($J$5:$AVW$5,_xlfn.AGGREGATE(14,6,(COLUMN($J189:$AVW189)-COLUMN($J189)+1)/($J189:$AVW189="T"),1)),"")</f>
        <v>45979</v>
      </c>
      <c r="H189" s="100">
        <f>COUNTIF($J189:$AVV189,"T")</f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hidden="1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97">
        <f>$A$2</f>
        <v>2</v>
      </c>
      <c r="G190" s="35" cm="1">
        <f t="array" ref="G190">IFERROR(INDEX($J$5:$AVW$5,_xlfn.AGGREGATE(14,6,(COLUMN($J190:$AVW190)-COLUMN($J190)+1)/($J190:$AVW190="T"),1)),"")</f>
        <v>45979</v>
      </c>
      <c r="H190" s="100">
        <f>COUNTIF($J190:$AVV190,"T")</f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hidden="1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97">
        <f>$A$2</f>
        <v>2</v>
      </c>
      <c r="G191" s="35" t="str" cm="1">
        <f t="array" ref="G191">IFERROR(INDEX($J$5:$AVW$5,_xlfn.AGGREGATE(14,6,(COLUMN($J191:$AVW191)-COLUMN($J191)+1)/($J191:$AVW191="T"),1)),"")</f>
        <v/>
      </c>
      <c r="H191" s="100">
        <f>COUNTIF($J191:$AVV191,"T")</f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hidden="1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t="str" cm="1">
        <f t="array" ref="E192">IFERROR(INDEX($J$5:$AVX$5, _xlfn.AGGREGATE(15,6, COLUMN(J192:AVX192)-COLUMN(J192)+1 / (J192:AVX192="T"), F192)), "")</f>
        <v/>
      </c>
      <c r="F192" s="97">
        <f>$A$2</f>
        <v>2</v>
      </c>
      <c r="G192" s="35" cm="1">
        <f t="array" ref="G192">IFERROR(INDEX($J$5:$AVW$5,_xlfn.AGGREGATE(14,6,(COLUMN($J192:$AVW192)-COLUMN($J192)+1)/($J192:$AVW192="T"),1)),"")</f>
        <v>45976</v>
      </c>
      <c r="H192" s="100">
        <f>COUNTIF($J192:$AVV192,"T")</f>
        <v>1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33"/>
      <c r="BB192" s="33"/>
      <c r="BC192" s="33"/>
      <c r="BD192" s="33"/>
      <c r="BE192" s="33"/>
      <c r="BF192" s="33"/>
      <c r="BG192" s="33"/>
      <c r="BH192" s="33"/>
      <c r="BI192" s="33"/>
      <c r="BJ192" s="33"/>
      <c r="BK192" s="33"/>
      <c r="BL192" s="33"/>
      <c r="BM192" s="33"/>
      <c r="BN192" s="33"/>
      <c r="BO192" s="33"/>
      <c r="BP192" s="33"/>
      <c r="BQ192" s="33"/>
      <c r="BR192" s="33"/>
      <c r="BS192" s="33"/>
      <c r="BT192" s="33"/>
      <c r="BU192" s="33"/>
      <c r="BV192" s="33"/>
      <c r="BW192" s="33"/>
      <c r="BX192" s="33"/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hidden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t="str" cm="1">
        <f t="array" ref="E193">IFERROR(INDEX($J$5:$AVX$5, _xlfn.AGGREGATE(15,6, COLUMN(J193:AVX193)-COLUMN(J193)+1 / (J193:AVX193="T"), F193)), "")</f>
        <v/>
      </c>
      <c r="F193" s="97">
        <f>$A$2</f>
        <v>2</v>
      </c>
      <c r="G193" s="35" cm="1">
        <f t="array" ref="G193">IFERROR(INDEX($J$5:$AVW$5,_xlfn.AGGREGATE(14,6,(COLUMN($J193:$AVW193)-COLUMN($J193)+1)/($J193:$AVW193="T"),1)),"")</f>
        <v>45976</v>
      </c>
      <c r="H193" s="100">
        <f>COUNTIF($J193:$AVV193,"T")</f>
        <v>1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33"/>
      <c r="BB193" s="33"/>
      <c r="BC193" s="33"/>
      <c r="BD193" s="33"/>
      <c r="BE193" s="33"/>
      <c r="BF193" s="33"/>
      <c r="BG193" s="33"/>
      <c r="BH193" s="33"/>
      <c r="BI193" s="33"/>
      <c r="BJ193" s="33"/>
      <c r="BK193" s="33"/>
      <c r="BL193" s="33"/>
      <c r="BM193" s="33"/>
      <c r="BN193" s="33"/>
      <c r="BO193" s="33"/>
      <c r="BP193" s="33"/>
      <c r="BQ193" s="33"/>
      <c r="BR193" s="33"/>
      <c r="BS193" s="33"/>
      <c r="BT193" s="33"/>
      <c r="BU193" s="33"/>
      <c r="BV193" s="33"/>
      <c r="BW193" s="33"/>
      <c r="BX193" s="33"/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hidden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t="str" cm="1">
        <f t="array" ref="E194">IFERROR(INDEX($J$5:$AVX$5, _xlfn.AGGREGATE(15,6, COLUMN(J194:AVX194)-COLUMN(J194)+1 / (J194:AVX194="T"), F194)), "")</f>
        <v/>
      </c>
      <c r="F194" s="97">
        <f>$A$2</f>
        <v>2</v>
      </c>
      <c r="G194" s="35" cm="1">
        <f t="array" ref="G194">IFERROR(INDEX($J$5:$AVW$5,_xlfn.AGGREGATE(14,6,(COLUMN($J194:$AVW194)-COLUMN($J194)+1)/($J194:$AVW194="T"),1)),"")</f>
        <v>45976</v>
      </c>
      <c r="H194" s="100">
        <f>COUNTIF($J194:$AVV194,"T")</f>
        <v>1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33"/>
      <c r="BB194" s="33"/>
      <c r="BC194" s="33"/>
      <c r="BD194" s="33"/>
      <c r="BE194" s="33"/>
      <c r="BF194" s="33"/>
      <c r="BG194" s="33"/>
      <c r="BH194" s="33"/>
      <c r="BI194" s="33"/>
      <c r="BJ194" s="33"/>
      <c r="BK194" s="33"/>
      <c r="BL194" s="33"/>
      <c r="BM194" s="33"/>
      <c r="BN194" s="33"/>
      <c r="BO194" s="33"/>
      <c r="BP194" s="33"/>
      <c r="BQ194" s="33"/>
      <c r="BR194" s="33"/>
      <c r="BS194" s="33"/>
      <c r="BT194" s="33"/>
      <c r="BU194" s="33"/>
      <c r="BV194" s="33"/>
      <c r="BW194" s="33"/>
      <c r="BX194" s="33"/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hidden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t="str" cm="1">
        <f t="array" ref="E195">IFERROR(INDEX($J$5:$AVX$5, _xlfn.AGGREGATE(15,6, COLUMN(J195:AVX195)-COLUMN(J195)+1 / (J195:AVX195="T"), F195)), "")</f>
        <v/>
      </c>
      <c r="F195" s="97">
        <f>$A$2</f>
        <v>2</v>
      </c>
      <c r="G195" s="35" cm="1">
        <f t="array" ref="G195">IFERROR(INDEX($J$5:$AVW$5,_xlfn.AGGREGATE(14,6,(COLUMN($J195:$AVW195)-COLUMN($J195)+1)/($J195:$AVW195="T"),1)),"")</f>
        <v>45976</v>
      </c>
      <c r="H195" s="100">
        <f>COUNTIF($J195:$AVV195,"T")</f>
        <v>1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33"/>
      <c r="BB195" s="33"/>
      <c r="BC195" s="33"/>
      <c r="BD195" s="33"/>
      <c r="BE195" s="33"/>
      <c r="BF195" s="33"/>
      <c r="BG195" s="33"/>
      <c r="BH195" s="33"/>
      <c r="BI195" s="33"/>
      <c r="BJ195" s="33"/>
      <c r="BK195" s="33"/>
      <c r="BL195" s="33"/>
      <c r="BM195" s="33"/>
      <c r="BN195" s="33"/>
      <c r="BO195" s="33"/>
      <c r="BP195" s="33"/>
      <c r="BQ195" s="33"/>
      <c r="BR195" s="33"/>
      <c r="BS195" s="33"/>
      <c r="BT195" s="33"/>
      <c r="BU195" s="33"/>
      <c r="BV195" s="33"/>
      <c r="BW195" s="33"/>
      <c r="BX195" s="33"/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hidden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t="str" cm="1">
        <f t="array" ref="E196">IFERROR(INDEX($J$5:$AVX$5, _xlfn.AGGREGATE(15,6, COLUMN(J196:AVX196)-COLUMN(J196)+1 / (J196:AVX196="T"), F196)), "")</f>
        <v/>
      </c>
      <c r="F196" s="97">
        <f>$A$2</f>
        <v>2</v>
      </c>
      <c r="G196" s="35" cm="1">
        <f t="array" ref="G196">IFERROR(INDEX($J$5:$AVW$5,_xlfn.AGGREGATE(14,6,(COLUMN($J196:$AVW196)-COLUMN($J196)+1)/($J196:$AVW196="T"),1)),"")</f>
        <v>45976</v>
      </c>
      <c r="H196" s="100">
        <f>COUNTIF($J196:$AVV196,"T")</f>
        <v>1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33"/>
      <c r="BB196" s="33"/>
      <c r="BC196" s="33"/>
      <c r="BD196" s="33"/>
      <c r="BE196" s="33"/>
      <c r="BF196" s="33"/>
      <c r="BG196" s="33"/>
      <c r="BH196" s="33"/>
      <c r="BI196" s="33"/>
      <c r="BJ196" s="33"/>
      <c r="BK196" s="33"/>
      <c r="BL196" s="33"/>
      <c r="BM196" s="33"/>
      <c r="BN196" s="33"/>
      <c r="BO196" s="33"/>
      <c r="BP196" s="33"/>
      <c r="BQ196" s="33"/>
      <c r="BR196" s="33"/>
      <c r="BS196" s="33"/>
      <c r="BT196" s="33"/>
      <c r="BU196" s="33"/>
      <c r="BV196" s="33"/>
      <c r="BW196" s="33"/>
      <c r="BX196" s="33"/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hidden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t="str" cm="1">
        <f t="array" ref="E197">IFERROR(INDEX($J$5:$AVX$5, _xlfn.AGGREGATE(15,6, COLUMN(J197:AVX197)-COLUMN(J197)+1 / (J197:AVX197="T"), F197)), "")</f>
        <v/>
      </c>
      <c r="F197" s="97">
        <f>$A$2</f>
        <v>2</v>
      </c>
      <c r="G197" s="35" cm="1">
        <f t="array" ref="G197">IFERROR(INDEX($J$5:$AVW$5,_xlfn.AGGREGATE(14,6,(COLUMN($J197:$AVW197)-COLUMN($J197)+1)/($J197:$AVW197="T"),1)),"")</f>
        <v>45976</v>
      </c>
      <c r="H197" s="100">
        <f>COUNTIF($J197:$AVV197,"T")</f>
        <v>1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33"/>
      <c r="BB197" s="33"/>
      <c r="BC197" s="33"/>
      <c r="BD197" s="33"/>
      <c r="BE197" s="33"/>
      <c r="BF197" s="33"/>
      <c r="BG197" s="33"/>
      <c r="BH197" s="33"/>
      <c r="BI197" s="33"/>
      <c r="BJ197" s="33"/>
      <c r="BK197" s="33"/>
      <c r="BL197" s="33"/>
      <c r="BM197" s="33"/>
      <c r="BN197" s="33"/>
      <c r="BO197" s="33"/>
      <c r="BP197" s="33"/>
      <c r="BQ197" s="33"/>
      <c r="BR197" s="33"/>
      <c r="BS197" s="33"/>
      <c r="BT197" s="33"/>
      <c r="BU197" s="33"/>
      <c r="BV197" s="33"/>
      <c r="BW197" s="33"/>
      <c r="BX197" s="33"/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hidden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t="str" cm="1">
        <f t="array" ref="E198">IFERROR(INDEX($J$5:$AVX$5, _xlfn.AGGREGATE(15,6, COLUMN(J198:AVX198)-COLUMN(J198)+1 / (J198:AVX198="T"), F198)), "")</f>
        <v/>
      </c>
      <c r="F198" s="97">
        <f>$A$2</f>
        <v>2</v>
      </c>
      <c r="G198" s="35" cm="1">
        <f t="array" ref="G198">IFERROR(INDEX($J$5:$AVW$5,_xlfn.AGGREGATE(14,6,(COLUMN($J198:$AVW198)-COLUMN($J198)+1)/($J198:$AVW198="T"),1)),"")</f>
        <v>45976</v>
      </c>
      <c r="H198" s="100">
        <f>COUNTIF($J198:$AVV198,"T")</f>
        <v>1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33"/>
      <c r="BB198" s="33"/>
      <c r="BC198" s="33"/>
      <c r="BD198" s="33"/>
      <c r="BE198" s="33"/>
      <c r="BF198" s="33"/>
      <c r="BG198" s="33"/>
      <c r="BH198" s="33"/>
      <c r="BI198" s="33"/>
      <c r="BJ198" s="33"/>
      <c r="BK198" s="33"/>
      <c r="BL198" s="33"/>
      <c r="BM198" s="33"/>
      <c r="BN198" s="33"/>
      <c r="BO198" s="33"/>
      <c r="BP198" s="33"/>
      <c r="BQ198" s="33"/>
      <c r="BR198" s="33"/>
      <c r="BS198" s="33"/>
      <c r="BT198" s="33"/>
      <c r="BU198" s="33"/>
      <c r="BV198" s="33"/>
      <c r="BW198" s="33"/>
      <c r="BX198" s="33"/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hidden="1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t="str" cm="1">
        <f t="array" ref="E199">IFERROR(INDEX($J$5:$AVX$5, _xlfn.AGGREGATE(15,6, COLUMN(J199:AVX199)-COLUMN(J199)+1 / (J199:AVX199="T"), F199)), "")</f>
        <v/>
      </c>
      <c r="F199" s="97">
        <f>$A$2</f>
        <v>2</v>
      </c>
      <c r="G199" s="35" cm="1">
        <f t="array" ref="G199">IFERROR(INDEX($J$5:$AVW$5,_xlfn.AGGREGATE(14,6,(COLUMN($J199:$AVW199)-COLUMN($J199)+1)/($J199:$AVW199="T"),1)),"")</f>
        <v>45976</v>
      </c>
      <c r="H199" s="100">
        <f>COUNTIF($J199:$AVV199,"T")</f>
        <v>1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33"/>
      <c r="BB199" s="33"/>
      <c r="BC199" s="33"/>
      <c r="BD199" s="33"/>
      <c r="BE199" s="33"/>
      <c r="BF199" s="33"/>
      <c r="BG199" s="33"/>
      <c r="BH199" s="33"/>
      <c r="BI199" s="33"/>
      <c r="BJ199" s="33"/>
      <c r="BK199" s="33"/>
      <c r="BL199" s="33"/>
      <c r="BM199" s="33"/>
      <c r="BN199" s="33"/>
      <c r="BO199" s="33"/>
      <c r="BP199" s="33"/>
      <c r="BQ199" s="33"/>
      <c r="BR199" s="33"/>
      <c r="BS199" s="33"/>
      <c r="BT199" s="33"/>
      <c r="BU199" s="33"/>
      <c r="BV199" s="33"/>
      <c r="BW199" s="33"/>
      <c r="BX199" s="33"/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hidden="1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t="str" cm="1">
        <f t="array" ref="E200">IFERROR(INDEX($J$5:$AVX$5, _xlfn.AGGREGATE(15,6, COLUMN(J200:AVX200)-COLUMN(J200)+1 / (J200:AVX200="T"), F200)), "")</f>
        <v/>
      </c>
      <c r="F200" s="97">
        <f>$A$2</f>
        <v>2</v>
      </c>
      <c r="G200" s="35" cm="1">
        <f t="array" ref="G200">IFERROR(INDEX($J$5:$AVW$5,_xlfn.AGGREGATE(14,6,(COLUMN($J200:$AVW200)-COLUMN($J200)+1)/($J200:$AVW200="T"),1)),"")</f>
        <v>45975</v>
      </c>
      <c r="H200" s="100">
        <f>COUNTIF($J200:$AVV200,"T")</f>
        <v>1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33"/>
      <c r="BA200" s="33"/>
      <c r="BB200" s="33"/>
      <c r="BC200" s="33"/>
      <c r="BD200" s="33"/>
      <c r="BE200" s="33"/>
      <c r="BF200" s="33"/>
      <c r="BG200" s="33"/>
      <c r="BH200" s="33"/>
      <c r="BI200" s="33"/>
      <c r="BJ200" s="33"/>
      <c r="BK200" s="33"/>
      <c r="BL200" s="33"/>
      <c r="BM200" s="33"/>
      <c r="BN200" s="33"/>
      <c r="BO200" s="33"/>
      <c r="BP200" s="33"/>
      <c r="BQ200" s="33"/>
      <c r="BR200" s="33"/>
      <c r="BS200" s="33"/>
      <c r="BT200" s="33"/>
      <c r="BU200" s="33"/>
      <c r="BV200" s="33"/>
      <c r="BW200" s="33"/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hidden="1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t="str" cm="1">
        <f t="array" ref="E201">IFERROR(INDEX($J$5:$AVX$5, _xlfn.AGGREGATE(15,6, COLUMN(J201:AVX201)-COLUMN(J201)+1 / (J201:AVX201="T"), F201)), "")</f>
        <v/>
      </c>
      <c r="F201" s="97">
        <f>$A$2</f>
        <v>2</v>
      </c>
      <c r="G201" s="35" cm="1">
        <f t="array" ref="G201">IFERROR(INDEX($J$5:$AVW$5,_xlfn.AGGREGATE(14,6,(COLUMN($J201:$AVW201)-COLUMN($J201)+1)/($J201:$AVW201="T"),1)),"")</f>
        <v>45975</v>
      </c>
      <c r="H201" s="100">
        <f>COUNTIF($J201:$AVV201,"T")</f>
        <v>1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33"/>
      <c r="BA201" s="33"/>
      <c r="BB201" s="33"/>
      <c r="BC201" s="33"/>
      <c r="BD201" s="33"/>
      <c r="BE201" s="33"/>
      <c r="BF201" s="33"/>
      <c r="BG201" s="33"/>
      <c r="BH201" s="33"/>
      <c r="BI201" s="33"/>
      <c r="BJ201" s="33"/>
      <c r="BK201" s="33"/>
      <c r="BL201" s="33"/>
      <c r="BM201" s="33"/>
      <c r="BN201" s="33"/>
      <c r="BO201" s="33"/>
      <c r="BP201" s="33"/>
      <c r="BQ201" s="33"/>
      <c r="BR201" s="33"/>
      <c r="BS201" s="33"/>
      <c r="BT201" s="33"/>
      <c r="BU201" s="33"/>
      <c r="BV201" s="33"/>
      <c r="BW201" s="33"/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hidden="1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t="str" cm="1">
        <f t="array" ref="E202">IFERROR(INDEX($J$5:$AVX$5, _xlfn.AGGREGATE(15,6, COLUMN(J202:AVX202)-COLUMN(J202)+1 / (J202:AVX202="T"), F202)), "")</f>
        <v/>
      </c>
      <c r="F202" s="97">
        <f>$A$2</f>
        <v>2</v>
      </c>
      <c r="G202" s="35" cm="1">
        <f t="array" ref="G202">IFERROR(INDEX($J$5:$AVW$5,_xlfn.AGGREGATE(14,6,(COLUMN($J202:$AVW202)-COLUMN($J202)+1)/($J202:$AVW202="T"),1)),"")</f>
        <v>45975</v>
      </c>
      <c r="H202" s="100">
        <f>COUNTIF($J202:$AVV202,"T")</f>
        <v>1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33"/>
      <c r="BA202" s="33"/>
      <c r="BB202" s="33"/>
      <c r="BC202" s="33"/>
      <c r="BD202" s="33"/>
      <c r="BE202" s="33"/>
      <c r="BF202" s="33"/>
      <c r="BG202" s="33"/>
      <c r="BH202" s="33"/>
      <c r="BI202" s="33"/>
      <c r="BJ202" s="33"/>
      <c r="BK202" s="33"/>
      <c r="BL202" s="33"/>
      <c r="BM202" s="33"/>
      <c r="BN202" s="33"/>
      <c r="BO202" s="33"/>
      <c r="BP202" s="33"/>
      <c r="BQ202" s="33"/>
      <c r="BR202" s="33"/>
      <c r="BS202" s="33"/>
      <c r="BT202" s="33"/>
      <c r="BU202" s="33"/>
      <c r="BV202" s="33"/>
      <c r="BW202" s="33"/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hidden="1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t="str" cm="1">
        <f t="array" ref="E203">IFERROR(INDEX($J$5:$AVX$5, _xlfn.AGGREGATE(15,6, COLUMN(J203:AVX203)-COLUMN(J203)+1 / (J203:AVX203="T"), F203)), "")</f>
        <v/>
      </c>
      <c r="F203" s="97">
        <f>$A$2</f>
        <v>2</v>
      </c>
      <c r="G203" s="35" cm="1">
        <f t="array" ref="G203">IFERROR(INDEX($J$5:$AVW$5,_xlfn.AGGREGATE(14,6,(COLUMN($J203:$AVW203)-COLUMN($J203)+1)/($J203:$AVW203="T"),1)),"")</f>
        <v>45975</v>
      </c>
      <c r="H203" s="100">
        <f>COUNTIF($J203:$AVV203,"T")</f>
        <v>1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33"/>
      <c r="BA203" s="33"/>
      <c r="BB203" s="33"/>
      <c r="BC203" s="33"/>
      <c r="BD203" s="33"/>
      <c r="BE203" s="33"/>
      <c r="BF203" s="33"/>
      <c r="BG203" s="33"/>
      <c r="BH203" s="33"/>
      <c r="BI203" s="33"/>
      <c r="BJ203" s="33"/>
      <c r="BK203" s="33"/>
      <c r="BL203" s="33"/>
      <c r="BM203" s="33"/>
      <c r="BN203" s="33"/>
      <c r="BO203" s="33"/>
      <c r="BP203" s="33"/>
      <c r="BQ203" s="33"/>
      <c r="BR203" s="33"/>
      <c r="BS203" s="33"/>
      <c r="BT203" s="33"/>
      <c r="BU203" s="33"/>
      <c r="BV203" s="33"/>
      <c r="BW203" s="33"/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hidden="1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t="str" cm="1">
        <f t="array" ref="E204">IFERROR(INDEX($J$5:$AVX$5, _xlfn.AGGREGATE(15,6, COLUMN(J204:AVX204)-COLUMN(J204)+1 / (J204:AVX204="T"), F204)), "")</f>
        <v/>
      </c>
      <c r="F204" s="97">
        <f>$A$2</f>
        <v>2</v>
      </c>
      <c r="G204" s="35" cm="1">
        <f t="array" ref="G204">IFERROR(INDEX($J$5:$AVW$5,_xlfn.AGGREGATE(14,6,(COLUMN($J204:$AVW204)-COLUMN($J204)+1)/($J204:$AVW204="T"),1)),"")</f>
        <v>45975</v>
      </c>
      <c r="H204" s="100">
        <f>COUNTIF($J204:$AVV204,"T")</f>
        <v>1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33"/>
      <c r="BA204" s="33"/>
      <c r="BB204" s="33"/>
      <c r="BC204" s="33"/>
      <c r="BD204" s="33"/>
      <c r="BE204" s="33"/>
      <c r="BF204" s="33"/>
      <c r="BG204" s="33"/>
      <c r="BH204" s="33"/>
      <c r="BI204" s="33"/>
      <c r="BJ204" s="33"/>
      <c r="BK204" s="33"/>
      <c r="BL204" s="33"/>
      <c r="BM204" s="33"/>
      <c r="BN204" s="33"/>
      <c r="BO204" s="33"/>
      <c r="BP204" s="33"/>
      <c r="BQ204" s="33"/>
      <c r="BR204" s="33"/>
      <c r="BS204" s="33"/>
      <c r="BT204" s="33"/>
      <c r="BU204" s="33"/>
      <c r="BV204" s="33"/>
      <c r="BW204" s="33"/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hidden="1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t="str" cm="1">
        <f t="array" ref="E205">IFERROR(INDEX($J$5:$AVX$5, _xlfn.AGGREGATE(15,6, COLUMN(J205:AVX205)-COLUMN(J205)+1 / (J205:AVX205="T"), F205)), "")</f>
        <v/>
      </c>
      <c r="F205" s="97">
        <f>$A$2</f>
        <v>2</v>
      </c>
      <c r="G205" s="35" cm="1">
        <f t="array" ref="G205">IFERROR(INDEX($J$5:$AVW$5,_xlfn.AGGREGATE(14,6,(COLUMN($J205:$AVW205)-COLUMN($J205)+1)/($J205:$AVW205="T"),1)),"")</f>
        <v>45975</v>
      </c>
      <c r="H205" s="100">
        <f>COUNTIF($J205:$AVV205,"T")</f>
        <v>1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33"/>
      <c r="BA205" s="33"/>
      <c r="BB205" s="33"/>
      <c r="BC205" s="33"/>
      <c r="BD205" s="33"/>
      <c r="BE205" s="33"/>
      <c r="BF205" s="33"/>
      <c r="BG205" s="33"/>
      <c r="BH205" s="33"/>
      <c r="BI205" s="33"/>
      <c r="BJ205" s="33"/>
      <c r="BK205" s="33"/>
      <c r="BL205" s="33"/>
      <c r="BM205" s="33"/>
      <c r="BN205" s="33"/>
      <c r="BO205" s="33"/>
      <c r="BP205" s="33"/>
      <c r="BQ205" s="33"/>
      <c r="BR205" s="33"/>
      <c r="BS205" s="33"/>
      <c r="BT205" s="33"/>
      <c r="BU205" s="33"/>
      <c r="BV205" s="33"/>
      <c r="BW205" s="33"/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hidden="1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t="str" cm="1">
        <f t="array" ref="E206">IFERROR(INDEX($J$5:$AVX$5, _xlfn.AGGREGATE(15,6, COLUMN(J206:AVX206)-COLUMN(J206)+1 / (J206:AVX206="T"), F206)), "")</f>
        <v/>
      </c>
      <c r="F206" s="97">
        <f>$A$2</f>
        <v>2</v>
      </c>
      <c r="G206" s="35" cm="1">
        <f t="array" ref="G206">IFERROR(INDEX($J$5:$AVW$5,_xlfn.AGGREGATE(14,6,(COLUMN($J206:$AVW206)-COLUMN($J206)+1)/($J206:$AVW206="T"),1)),"")</f>
        <v>45975</v>
      </c>
      <c r="H206" s="100">
        <f>COUNTIF($J206:$AVV206,"T")</f>
        <v>1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33"/>
      <c r="BA206" s="33"/>
      <c r="BB206" s="33"/>
      <c r="BC206" s="33"/>
      <c r="BD206" s="33"/>
      <c r="BE206" s="33"/>
      <c r="BF206" s="33"/>
      <c r="BG206" s="33"/>
      <c r="BH206" s="33"/>
      <c r="BI206" s="33"/>
      <c r="BJ206" s="33"/>
      <c r="BK206" s="33"/>
      <c r="BL206" s="33"/>
      <c r="BM206" s="33"/>
      <c r="BN206" s="33"/>
      <c r="BO206" s="33"/>
      <c r="BP206" s="33"/>
      <c r="BQ206" s="33"/>
      <c r="BR206" s="33"/>
      <c r="BS206" s="33"/>
      <c r="BT206" s="33"/>
      <c r="BU206" s="33"/>
      <c r="BV206" s="33"/>
      <c r="BW206" s="33"/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hidden="1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t="str" cm="1">
        <f t="array" ref="E207">IFERROR(INDEX($J$5:$AVX$5, _xlfn.AGGREGATE(15,6, COLUMN(J207:AVX207)-COLUMN(J207)+1 / (J207:AVX207="T"), F207)), "")</f>
        <v/>
      </c>
      <c r="F207" s="97">
        <f>$A$2</f>
        <v>2</v>
      </c>
      <c r="G207" s="35" cm="1">
        <f t="array" ref="G207">IFERROR(INDEX($J$5:$AVW$5,_xlfn.AGGREGATE(14,6,(COLUMN($J207:$AVW207)-COLUMN($J207)+1)/($J207:$AVW207="T"),1)),"")</f>
        <v>45974</v>
      </c>
      <c r="H207" s="100">
        <f>COUNTIF($J207:$AVV207,"T")</f>
        <v>1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33"/>
      <c r="AZ207" s="33"/>
      <c r="BA207" s="33"/>
      <c r="BB207" s="33"/>
      <c r="BC207" s="33"/>
      <c r="BD207" s="33"/>
      <c r="BE207" s="33"/>
      <c r="BF207" s="33"/>
      <c r="BG207" s="33"/>
      <c r="BH207" s="33"/>
      <c r="BI207" s="33"/>
      <c r="BJ207" s="33"/>
      <c r="BK207" s="33"/>
      <c r="BL207" s="33"/>
      <c r="BM207" s="33"/>
      <c r="BN207" s="33"/>
      <c r="BO207" s="33"/>
      <c r="BP207" s="33"/>
      <c r="BQ207" s="33"/>
      <c r="BR207" s="33"/>
      <c r="BS207" s="33"/>
      <c r="BT207" s="33"/>
      <c r="BU207" s="33"/>
      <c r="BV207" s="33"/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hidden="1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t="str" cm="1">
        <f t="array" ref="E208">IFERROR(INDEX($J$5:$AVX$5, _xlfn.AGGREGATE(15,6, COLUMN(J208:AVX208)-COLUMN(J208)+1 / (J208:AVX208="T"), F208)), "")</f>
        <v/>
      </c>
      <c r="F208" s="97">
        <f>$A$2</f>
        <v>2</v>
      </c>
      <c r="G208" s="35" cm="1">
        <f t="array" ref="G208">IFERROR(INDEX($J$5:$AVW$5,_xlfn.AGGREGATE(14,6,(COLUMN($J208:$AVW208)-COLUMN($J208)+1)/($J208:$AVW208="T"),1)),"")</f>
        <v>45974</v>
      </c>
      <c r="H208" s="100">
        <f>COUNTIF($J208:$AVV208,"T")</f>
        <v>1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33"/>
      <c r="AZ208" s="33"/>
      <c r="BA208" s="33"/>
      <c r="BB208" s="33"/>
      <c r="BC208" s="33"/>
      <c r="BD208" s="33"/>
      <c r="BE208" s="33"/>
      <c r="BF208" s="33"/>
      <c r="BG208" s="33"/>
      <c r="BH208" s="33"/>
      <c r="BI208" s="33"/>
      <c r="BJ208" s="33"/>
      <c r="BK208" s="33"/>
      <c r="BL208" s="33"/>
      <c r="BM208" s="33"/>
      <c r="BN208" s="33"/>
      <c r="BO208" s="33"/>
      <c r="BP208" s="33"/>
      <c r="BQ208" s="33"/>
      <c r="BR208" s="33"/>
      <c r="BS208" s="33"/>
      <c r="BT208" s="33"/>
      <c r="BU208" s="33"/>
      <c r="BV208" s="33"/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hidden="1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t="str" cm="1">
        <f t="array" ref="E209">IFERROR(INDEX($J$5:$AVX$5, _xlfn.AGGREGATE(15,6, COLUMN(J209:AVX209)-COLUMN(J209)+1 / (J209:AVX209="T"), F209)), "")</f>
        <v/>
      </c>
      <c r="F209" s="97">
        <f>$A$2</f>
        <v>2</v>
      </c>
      <c r="G209" s="35" cm="1">
        <f t="array" ref="G209">IFERROR(INDEX($J$5:$AVW$5,_xlfn.AGGREGATE(14,6,(COLUMN($J209:$AVW209)-COLUMN($J209)+1)/($J209:$AVW209="T"),1)),"")</f>
        <v>45974</v>
      </c>
      <c r="H209" s="100">
        <f>COUNTIF($J209:$AVV209,"T")</f>
        <v>1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33"/>
      <c r="AZ209" s="33"/>
      <c r="BA209" s="33"/>
      <c r="BB209" s="33"/>
      <c r="BC209" s="33"/>
      <c r="BD209" s="33"/>
      <c r="BE209" s="33"/>
      <c r="BF209" s="33"/>
      <c r="BG209" s="33"/>
      <c r="BH209" s="33"/>
      <c r="BI209" s="33"/>
      <c r="BJ209" s="33"/>
      <c r="BK209" s="33"/>
      <c r="BL209" s="33"/>
      <c r="BM209" s="33"/>
      <c r="BN209" s="33"/>
      <c r="BO209" s="33"/>
      <c r="BP209" s="33"/>
      <c r="BQ209" s="33"/>
      <c r="BR209" s="33"/>
      <c r="BS209" s="33"/>
      <c r="BT209" s="33"/>
      <c r="BU209" s="33"/>
      <c r="BV209" s="33"/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hidden="1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t="str" cm="1">
        <f t="array" ref="E210">IFERROR(INDEX($J$5:$AVX$5, _xlfn.AGGREGATE(15,6, COLUMN(J210:AVX210)-COLUMN(J210)+1 / (J210:AVX210="T"), F210)), "")</f>
        <v/>
      </c>
      <c r="F210" s="97">
        <f>$A$2</f>
        <v>2</v>
      </c>
      <c r="G210" s="35" cm="1">
        <f t="array" ref="G210">IFERROR(INDEX($J$5:$AVW$5,_xlfn.AGGREGATE(14,6,(COLUMN($J210:$AVW210)-COLUMN($J210)+1)/($J210:$AVW210="T"),1)),"")</f>
        <v>45974</v>
      </c>
      <c r="H210" s="100">
        <f>COUNTIF($J210:$AVV210,"T")</f>
        <v>1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33"/>
      <c r="AZ210" s="33"/>
      <c r="BA210" s="33"/>
      <c r="BB210" s="33"/>
      <c r="BC210" s="33"/>
      <c r="BD210" s="33"/>
      <c r="BE210" s="33"/>
      <c r="BF210" s="33"/>
      <c r="BG210" s="33"/>
      <c r="BH210" s="33"/>
      <c r="BI210" s="33"/>
      <c r="BJ210" s="33"/>
      <c r="BK210" s="33"/>
      <c r="BL210" s="33"/>
      <c r="BM210" s="33"/>
      <c r="BN210" s="33"/>
      <c r="BO210" s="33"/>
      <c r="BP210" s="33"/>
      <c r="BQ210" s="33"/>
      <c r="BR210" s="33"/>
      <c r="BS210" s="33"/>
      <c r="BT210" s="33"/>
      <c r="BU210" s="33"/>
      <c r="BV210" s="33"/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hidden="1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t="str" cm="1">
        <f t="array" ref="E211">IFERROR(INDEX($J$5:$AVX$5, _xlfn.AGGREGATE(15,6, COLUMN(J211:AVX211)-COLUMN(J211)+1 / (J211:AVX211="T"), F211)), "")</f>
        <v/>
      </c>
      <c r="F211" s="97">
        <f>$A$2</f>
        <v>2</v>
      </c>
      <c r="G211" s="35" cm="1">
        <f t="array" ref="G211">IFERROR(INDEX($J$5:$AVW$5,_xlfn.AGGREGATE(14,6,(COLUMN($J211:$AVW211)-COLUMN($J211)+1)/($J211:$AVW211="T"),1)),"")</f>
        <v>45974</v>
      </c>
      <c r="H211" s="100">
        <f>COUNTIF($J211:$AVV211,"T")</f>
        <v>1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33"/>
      <c r="AZ211" s="33"/>
      <c r="BA211" s="33"/>
      <c r="BB211" s="33"/>
      <c r="BC211" s="33"/>
      <c r="BD211" s="33"/>
      <c r="BE211" s="33"/>
      <c r="BF211" s="33"/>
      <c r="BG211" s="33"/>
      <c r="BH211" s="33"/>
      <c r="BI211" s="33"/>
      <c r="BJ211" s="33"/>
      <c r="BK211" s="33"/>
      <c r="BL211" s="33"/>
      <c r="BM211" s="33"/>
      <c r="BN211" s="33"/>
      <c r="BO211" s="33"/>
      <c r="BP211" s="33"/>
      <c r="BQ211" s="33"/>
      <c r="BR211" s="33"/>
      <c r="BS211" s="33"/>
      <c r="BT211" s="33"/>
      <c r="BU211" s="33"/>
      <c r="BV211" s="33"/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hidden="1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t="str" cm="1">
        <f t="array" ref="E212">IFERROR(INDEX($J$5:$AVX$5, _xlfn.AGGREGATE(15,6, COLUMN(J212:AVX212)-COLUMN(J212)+1 / (J212:AVX212="T"), F212)), "")</f>
        <v/>
      </c>
      <c r="F212" s="97">
        <f>$A$2</f>
        <v>2</v>
      </c>
      <c r="G212" s="35" cm="1">
        <f t="array" ref="G212">IFERROR(INDEX($J$5:$AVW$5,_xlfn.AGGREGATE(14,6,(COLUMN($J212:$AVW212)-COLUMN($J212)+1)/($J212:$AVW212="T"),1)),"")</f>
        <v>45974</v>
      </c>
      <c r="H212" s="100">
        <f>COUNTIF($J212:$AVV212,"T")</f>
        <v>1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33"/>
      <c r="AZ212" s="33"/>
      <c r="BA212" s="33"/>
      <c r="BB212" s="33"/>
      <c r="BC212" s="33"/>
      <c r="BD212" s="33"/>
      <c r="BE212" s="33"/>
      <c r="BF212" s="33"/>
      <c r="BG212" s="33"/>
      <c r="BH212" s="33"/>
      <c r="BI212" s="33"/>
      <c r="BJ212" s="33"/>
      <c r="BK212" s="33"/>
      <c r="BL212" s="33"/>
      <c r="BM212" s="33"/>
      <c r="BN212" s="33"/>
      <c r="BO212" s="33"/>
      <c r="BP212" s="33"/>
      <c r="BQ212" s="33"/>
      <c r="BR212" s="33"/>
      <c r="BS212" s="33"/>
      <c r="BT212" s="33"/>
      <c r="BU212" s="33"/>
      <c r="BV212" s="33"/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hidden="1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t="str" cm="1">
        <f t="array" ref="E213">IFERROR(INDEX($J$5:$AVX$5, _xlfn.AGGREGATE(15,6, COLUMN(J213:AVX213)-COLUMN(J213)+1 / (J213:AVX213="T"), F213)), "")</f>
        <v/>
      </c>
      <c r="F213" s="97">
        <f>$A$2</f>
        <v>2</v>
      </c>
      <c r="G213" s="35" cm="1">
        <f t="array" ref="G213">IFERROR(INDEX($J$5:$AVW$5,_xlfn.AGGREGATE(14,6,(COLUMN($J213:$AVW213)-COLUMN($J213)+1)/($J213:$AVW213="T"),1)),"")</f>
        <v>45974</v>
      </c>
      <c r="H213" s="100">
        <f>COUNTIF($J213:$AVV213,"T")</f>
        <v>1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33"/>
      <c r="AZ213" s="33"/>
      <c r="BA213" s="33"/>
      <c r="BB213" s="33"/>
      <c r="BC213" s="33"/>
      <c r="BD213" s="33"/>
      <c r="BE213" s="33"/>
      <c r="BF213" s="33"/>
      <c r="BG213" s="33"/>
      <c r="BH213" s="33"/>
      <c r="BI213" s="33"/>
      <c r="BJ213" s="33"/>
      <c r="BK213" s="33"/>
      <c r="BL213" s="33"/>
      <c r="BM213" s="33"/>
      <c r="BN213" s="33"/>
      <c r="BO213" s="33"/>
      <c r="BP213" s="33"/>
      <c r="BQ213" s="33"/>
      <c r="BR213" s="33"/>
      <c r="BS213" s="33"/>
      <c r="BT213" s="33"/>
      <c r="BU213" s="33"/>
      <c r="BV213" s="33"/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hidden="1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t="str" cm="1">
        <f t="array" ref="E214">IFERROR(INDEX($J$5:$AVX$5, _xlfn.AGGREGATE(15,6, COLUMN(J214:AVX214)-COLUMN(J214)+1 / (J214:AVX214="T"), F214)), "")</f>
        <v/>
      </c>
      <c r="F214" s="97">
        <f>$A$2</f>
        <v>2</v>
      </c>
      <c r="G214" s="35" cm="1">
        <f t="array" ref="G214">IFERROR(INDEX($J$5:$AVW$5,_xlfn.AGGREGATE(14,6,(COLUMN($J214:$AVW214)-COLUMN($J214)+1)/($J214:$AVW214="T"),1)),"")</f>
        <v>45988</v>
      </c>
      <c r="H214" s="100">
        <f>COUNTIF($J214:$AVV214,"T")</f>
        <v>1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33"/>
      <c r="BN214" s="33"/>
      <c r="BO214" s="33"/>
      <c r="BP214" s="33"/>
      <c r="BQ214" s="33"/>
      <c r="BR214" s="33"/>
      <c r="BS214" s="33"/>
      <c r="BT214" s="33"/>
      <c r="BU214" s="33"/>
      <c r="BV214" s="33"/>
      <c r="BW214" s="33"/>
      <c r="BX214" s="33"/>
      <c r="BY214" s="33"/>
      <c r="BZ214" s="33"/>
      <c r="CA214" s="33"/>
      <c r="CB214" s="33"/>
      <c r="CC214" s="33"/>
      <c r="CD214" s="33"/>
      <c r="CE214" s="33"/>
      <c r="CF214" s="33"/>
      <c r="CG214" s="33"/>
      <c r="CH214" s="33"/>
      <c r="CI214" s="33"/>
      <c r="CJ214" s="33"/>
      <c r="CK214" s="33"/>
      <c r="CL214" s="33"/>
      <c r="CM214" s="33"/>
      <c r="CN214" s="33"/>
      <c r="CO214" s="33"/>
      <c r="CP214" s="33"/>
    </row>
    <row r="215" spans="1:94" hidden="1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t="str" cm="1">
        <f t="array" ref="E215">IFERROR(INDEX($J$5:$AVX$5, _xlfn.AGGREGATE(15,6, COLUMN(J215:AVX215)-COLUMN(J215)+1 / (J215:AVX215="T"), F215)), "")</f>
        <v/>
      </c>
      <c r="F215" s="97">
        <f>$A$2</f>
        <v>2</v>
      </c>
      <c r="G215" s="35" cm="1">
        <f t="array" ref="G215">IFERROR(INDEX($J$5:$AVW$5,_xlfn.AGGREGATE(14,6,(COLUMN($J215:$AVW215)-COLUMN($J215)+1)/($J215:$AVW215="T"),1)),"")</f>
        <v>45988</v>
      </c>
      <c r="H215" s="100">
        <f>COUNTIF($J215:$AVV215,"T")</f>
        <v>1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33"/>
      <c r="BN215" s="33"/>
      <c r="BO215" s="33"/>
      <c r="BP215" s="33"/>
      <c r="BQ215" s="33"/>
      <c r="BR215" s="33"/>
      <c r="BS215" s="33"/>
      <c r="BT215" s="33"/>
      <c r="BU215" s="33"/>
      <c r="BV215" s="33"/>
      <c r="BW215" s="33"/>
      <c r="BX215" s="33"/>
      <c r="BY215" s="33"/>
      <c r="BZ215" s="33"/>
      <c r="CA215" s="33"/>
      <c r="CB215" s="33"/>
      <c r="CC215" s="33"/>
      <c r="CD215" s="33"/>
      <c r="CE215" s="33"/>
      <c r="CF215" s="33"/>
      <c r="CG215" s="33"/>
      <c r="CH215" s="33"/>
      <c r="CI215" s="33"/>
      <c r="CJ215" s="33"/>
      <c r="CK215" s="33"/>
      <c r="CL215" s="33"/>
      <c r="CM215" s="33"/>
      <c r="CN215" s="33"/>
      <c r="CO215" s="33"/>
      <c r="CP215" s="33"/>
    </row>
    <row r="216" spans="1:94" hidden="1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t="str" cm="1">
        <f t="array" ref="E216">IFERROR(INDEX($J$5:$AVX$5, _xlfn.AGGREGATE(15,6, COLUMN(J216:AVX216)-COLUMN(J216)+1 / (J216:AVX216="T"), F216)), "")</f>
        <v/>
      </c>
      <c r="F216" s="97">
        <f>$A$2</f>
        <v>2</v>
      </c>
      <c r="G216" s="35" cm="1">
        <f t="array" ref="G216">IFERROR(INDEX($J$5:$AVW$5,_xlfn.AGGREGATE(14,6,(COLUMN($J216:$AVW216)-COLUMN($J216)+1)/($J216:$AVW216="T"),1)),"")</f>
        <v>45988</v>
      </c>
      <c r="H216" s="100">
        <f>COUNTIF($J216:$AVV216,"T")</f>
        <v>1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33"/>
      <c r="BN216" s="33"/>
      <c r="BO216" s="33"/>
      <c r="BP216" s="33"/>
      <c r="BQ216" s="33"/>
      <c r="BR216" s="33"/>
      <c r="BS216" s="33"/>
      <c r="BT216" s="33"/>
      <c r="BU216" s="33"/>
      <c r="BV216" s="33"/>
      <c r="BW216" s="33"/>
      <c r="BX216" s="33"/>
      <c r="BY216" s="33"/>
      <c r="BZ216" s="33"/>
      <c r="CA216" s="33"/>
      <c r="CB216" s="33"/>
      <c r="CC216" s="33"/>
      <c r="CD216" s="33"/>
      <c r="CE216" s="33"/>
      <c r="CF216" s="33"/>
      <c r="CG216" s="33"/>
      <c r="CH216" s="33"/>
      <c r="CI216" s="33"/>
      <c r="CJ216" s="33"/>
      <c r="CK216" s="33"/>
      <c r="CL216" s="33"/>
      <c r="CM216" s="33"/>
      <c r="CN216" s="33"/>
      <c r="CO216" s="33"/>
      <c r="CP216" s="33"/>
    </row>
    <row r="217" spans="1:94" hidden="1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t="str" cm="1">
        <f t="array" ref="E217">IFERROR(INDEX($J$5:$AVX$5, _xlfn.AGGREGATE(15,6, COLUMN(J217:AVX217)-COLUMN(J217)+1 / (J217:AVX217="T"), F217)), "")</f>
        <v/>
      </c>
      <c r="F217" s="97">
        <f>$A$2</f>
        <v>2</v>
      </c>
      <c r="G217" s="35" cm="1">
        <f t="array" ref="G217">IFERROR(INDEX($J$5:$AVW$5,_xlfn.AGGREGATE(14,6,(COLUMN($J217:$AVW217)-COLUMN($J217)+1)/($J217:$AVW217="T"),1)),"")</f>
        <v>45988</v>
      </c>
      <c r="H217" s="100">
        <f>COUNTIF($J217:$AVV217,"T")</f>
        <v>1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33"/>
      <c r="BN217" s="33"/>
      <c r="BO217" s="33"/>
      <c r="BP217" s="33"/>
      <c r="BQ217" s="33"/>
      <c r="BR217" s="33"/>
      <c r="BS217" s="33"/>
      <c r="BT217" s="33"/>
      <c r="BU217" s="33"/>
      <c r="BV217" s="33"/>
      <c r="BW217" s="33"/>
      <c r="BX217" s="33"/>
      <c r="BY217" s="33"/>
      <c r="BZ217" s="33"/>
      <c r="CA217" s="33"/>
      <c r="CB217" s="33"/>
      <c r="CC217" s="33"/>
      <c r="CD217" s="33"/>
      <c r="CE217" s="33"/>
      <c r="CF217" s="33"/>
      <c r="CG217" s="33"/>
      <c r="CH217" s="33"/>
      <c r="CI217" s="33"/>
      <c r="CJ217" s="33"/>
      <c r="CK217" s="33"/>
      <c r="CL217" s="33"/>
      <c r="CM217" s="33"/>
      <c r="CN217" s="33"/>
      <c r="CO217" s="33"/>
      <c r="CP217" s="33"/>
    </row>
    <row r="218" spans="1:94" hidden="1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t="str" cm="1">
        <f t="array" ref="E218">IFERROR(INDEX($J$5:$AVX$5, _xlfn.AGGREGATE(15,6, COLUMN(J218:AVX218)-COLUMN(J218)+1 / (J218:AVX218="T"), F218)), "")</f>
        <v/>
      </c>
      <c r="F218" s="97">
        <f>$A$2</f>
        <v>2</v>
      </c>
      <c r="G218" s="35" cm="1">
        <f t="array" ref="G218">IFERROR(INDEX($J$5:$AVW$5,_xlfn.AGGREGATE(14,6,(COLUMN($J218:$AVW218)-COLUMN($J218)+1)/($J218:$AVW218="T"),1)),"")</f>
        <v>45989</v>
      </c>
      <c r="H218" s="100">
        <f>COUNTIF($J218:$AVV218,"T")</f>
        <v>1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33"/>
      <c r="BN218" s="33"/>
      <c r="BO218" s="33"/>
      <c r="BP218" s="33"/>
      <c r="BQ218" s="33"/>
      <c r="BR218" s="33"/>
      <c r="BS218" s="33"/>
      <c r="BT218" s="33"/>
      <c r="BU218" s="33"/>
      <c r="BV218" s="33"/>
      <c r="BW218" s="33"/>
      <c r="BX218" s="33"/>
      <c r="BY218" s="33"/>
      <c r="BZ218" s="33"/>
      <c r="CA218" s="33"/>
      <c r="CB218" s="33"/>
      <c r="CC218" s="33"/>
      <c r="CD218" s="33"/>
      <c r="CE218" s="33"/>
      <c r="CF218" s="33"/>
      <c r="CG218" s="33"/>
      <c r="CH218" s="33"/>
      <c r="CI218" s="33"/>
      <c r="CJ218" s="33"/>
      <c r="CK218" s="33"/>
      <c r="CL218" s="33"/>
      <c r="CM218" s="33"/>
      <c r="CN218" s="33"/>
      <c r="CO218" s="33"/>
      <c r="CP218" s="33"/>
    </row>
    <row r="219" spans="1:94" hidden="1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t="str" cm="1">
        <f t="array" ref="E219">IFERROR(INDEX($J$5:$AVX$5, _xlfn.AGGREGATE(15,6, COLUMN(J219:AVX219)-COLUMN(J219)+1 / (J219:AVX219="T"), F219)), "")</f>
        <v/>
      </c>
      <c r="F219" s="97">
        <f>$A$2</f>
        <v>2</v>
      </c>
      <c r="G219" s="35" cm="1">
        <f t="array" ref="G219">IFERROR(INDEX($J$5:$AVW$5,_xlfn.AGGREGATE(14,6,(COLUMN($J219:$AVW219)-COLUMN($J219)+1)/($J219:$AVW219="T"),1)),"")</f>
        <v>45989</v>
      </c>
      <c r="H219" s="100">
        <f>COUNTIF($J219:$AVV219,"T")</f>
        <v>1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33"/>
      <c r="BN219" s="33"/>
      <c r="BO219" s="33"/>
      <c r="BP219" s="33"/>
      <c r="BQ219" s="33"/>
      <c r="BR219" s="33"/>
      <c r="BS219" s="33"/>
      <c r="BT219" s="33"/>
      <c r="BU219" s="33"/>
      <c r="BV219" s="33"/>
      <c r="BW219" s="33"/>
      <c r="BX219" s="33"/>
      <c r="BY219" s="33"/>
      <c r="BZ219" s="33"/>
      <c r="CA219" s="33"/>
      <c r="CB219" s="33"/>
      <c r="CC219" s="33"/>
      <c r="CD219" s="33"/>
      <c r="CE219" s="33"/>
      <c r="CF219" s="33"/>
      <c r="CG219" s="33"/>
      <c r="CH219" s="33"/>
      <c r="CI219" s="33"/>
      <c r="CJ219" s="33"/>
      <c r="CK219" s="33"/>
      <c r="CL219" s="33"/>
      <c r="CM219" s="33"/>
      <c r="CN219" s="33"/>
      <c r="CO219" s="33"/>
      <c r="CP219" s="33"/>
    </row>
    <row r="220" spans="1:94" hidden="1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t="str" cm="1">
        <f t="array" ref="E220">IFERROR(INDEX($J$5:$AVX$5, _xlfn.AGGREGATE(15,6, COLUMN(J220:AVX220)-COLUMN(J220)+1 / (J220:AVX220="T"), F220)), "")</f>
        <v/>
      </c>
      <c r="F220" s="97">
        <f>$A$2</f>
        <v>2</v>
      </c>
      <c r="G220" s="35" cm="1">
        <f t="array" ref="G220">IFERROR(INDEX($J$5:$AVW$5,_xlfn.AGGREGATE(14,6,(COLUMN($J220:$AVW220)-COLUMN($J220)+1)/($J220:$AVW220="T"),1)),"")</f>
        <v>45989</v>
      </c>
      <c r="H220" s="100">
        <f>COUNTIF($J220:$AVV220,"T")</f>
        <v>1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33"/>
      <c r="BN220" s="33"/>
      <c r="BO220" s="33"/>
      <c r="BP220" s="33"/>
      <c r="BQ220" s="33"/>
      <c r="BR220" s="33"/>
      <c r="BS220" s="33"/>
      <c r="BT220" s="33"/>
      <c r="BU220" s="33"/>
      <c r="BV220" s="33"/>
      <c r="BW220" s="33"/>
      <c r="BX220" s="33"/>
      <c r="BY220" s="33"/>
      <c r="BZ220" s="33"/>
      <c r="CA220" s="33"/>
      <c r="CB220" s="33"/>
      <c r="CC220" s="33"/>
      <c r="CD220" s="33"/>
      <c r="CE220" s="33"/>
      <c r="CF220" s="33"/>
      <c r="CG220" s="33"/>
      <c r="CH220" s="33"/>
      <c r="CI220" s="33"/>
      <c r="CJ220" s="33"/>
      <c r="CK220" s="33"/>
      <c r="CL220" s="33"/>
      <c r="CM220" s="33"/>
      <c r="CN220" s="33"/>
      <c r="CO220" s="33"/>
      <c r="CP220" s="33"/>
    </row>
    <row r="221" spans="1:94" hidden="1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t="str" cm="1">
        <f t="array" ref="E221">IFERROR(INDEX($J$5:$AVX$5, _xlfn.AGGREGATE(15,6, COLUMN(J221:AVX221)-COLUMN(J221)+1 / (J221:AVX221="T"), F221)), "")</f>
        <v/>
      </c>
      <c r="F221" s="97">
        <f>$A$2</f>
        <v>2</v>
      </c>
      <c r="G221" s="35" cm="1">
        <f t="array" ref="G221">IFERROR(INDEX($J$5:$AVW$5,_xlfn.AGGREGATE(14,6,(COLUMN($J221:$AVW221)-COLUMN($J221)+1)/($J221:$AVW221="T"),1)),"")</f>
        <v>45989</v>
      </c>
      <c r="H221" s="100">
        <f>COUNTIF($J221:$AVV221,"T")</f>
        <v>1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33"/>
      <c r="BO221" s="33"/>
      <c r="BP221" s="33"/>
      <c r="BQ221" s="33"/>
      <c r="BR221" s="33"/>
      <c r="BS221" s="33"/>
      <c r="BT221" s="33"/>
      <c r="BU221" s="33"/>
      <c r="BV221" s="33"/>
      <c r="BW221" s="33"/>
      <c r="BX221" s="33"/>
      <c r="BY221" s="33"/>
      <c r="BZ221" s="33"/>
      <c r="CA221" s="33"/>
      <c r="CB221" s="33"/>
      <c r="CC221" s="33"/>
      <c r="CD221" s="33"/>
      <c r="CE221" s="33"/>
      <c r="CF221" s="33"/>
      <c r="CG221" s="33"/>
      <c r="CH221" s="33"/>
      <c r="CI221" s="33"/>
      <c r="CJ221" s="33"/>
      <c r="CK221" s="33"/>
      <c r="CL221" s="33"/>
      <c r="CM221" s="33"/>
      <c r="CN221" s="33"/>
      <c r="CO221" s="33"/>
      <c r="CP221" s="33"/>
    </row>
    <row r="222" spans="1:94" hidden="1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t="str" cm="1">
        <f t="array" ref="E222">IFERROR(INDEX($J$5:$AVX$5, _xlfn.AGGREGATE(15,6, COLUMN(J222:AVX222)-COLUMN(J222)+1 / (J222:AVX222="T"), F222)), "")</f>
        <v/>
      </c>
      <c r="F222" s="97">
        <f>$A$2</f>
        <v>2</v>
      </c>
      <c r="G222" s="35" cm="1">
        <f t="array" ref="G222">IFERROR(INDEX($J$5:$AVW$5,_xlfn.AGGREGATE(14,6,(COLUMN($J222:$AVW222)-COLUMN($J222)+1)/($J222:$AVW222="T"),1)),"")</f>
        <v>45989</v>
      </c>
      <c r="H222" s="100">
        <f>COUNTIF($J222:$AVV222,"T")</f>
        <v>1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33"/>
      <c r="BO222" s="33"/>
      <c r="BP222" s="33"/>
      <c r="BQ222" s="33"/>
      <c r="BR222" s="33"/>
      <c r="BS222" s="33"/>
      <c r="BT222" s="33"/>
      <c r="BU222" s="33"/>
      <c r="BV222" s="33"/>
      <c r="BW222" s="33"/>
      <c r="BX222" s="33"/>
      <c r="BY222" s="33"/>
      <c r="BZ222" s="33"/>
      <c r="CA222" s="33"/>
      <c r="CB222" s="33"/>
      <c r="CC222" s="33"/>
      <c r="CD222" s="33"/>
      <c r="CE222" s="33"/>
      <c r="CF222" s="33"/>
      <c r="CG222" s="33"/>
      <c r="CH222" s="33"/>
      <c r="CI222" s="33"/>
      <c r="CJ222" s="33"/>
      <c r="CK222" s="33"/>
      <c r="CL222" s="33"/>
      <c r="CM222" s="33"/>
      <c r="CN222" s="33"/>
      <c r="CO222" s="33"/>
      <c r="CP222" s="33"/>
    </row>
    <row r="223" spans="1:94" hidden="1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t="str" cm="1">
        <f t="array" ref="E223">IFERROR(INDEX($J$5:$AVX$5, _xlfn.AGGREGATE(15,6, COLUMN(J223:AVX223)-COLUMN(J223)+1 / (J223:AVX223="T"), F223)), "")</f>
        <v/>
      </c>
      <c r="F223" s="97">
        <f>$A$2</f>
        <v>2</v>
      </c>
      <c r="G223" s="35" cm="1">
        <f t="array" ref="G223">IFERROR(INDEX($J$5:$AVW$5,_xlfn.AGGREGATE(14,6,(COLUMN($J223:$AVW223)-COLUMN($J223)+1)/($J223:$AVW223="T"),1)),"")</f>
        <v>45989</v>
      </c>
      <c r="H223" s="100">
        <f>COUNTIF($J223:$AVV223,"T")</f>
        <v>1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33"/>
      <c r="BO223" s="33"/>
      <c r="BP223" s="33"/>
      <c r="BQ223" s="33"/>
      <c r="BR223" s="33"/>
      <c r="BS223" s="33"/>
      <c r="BT223" s="33"/>
      <c r="BU223" s="33"/>
      <c r="BV223" s="33"/>
      <c r="BW223" s="33"/>
      <c r="BX223" s="33"/>
      <c r="BY223" s="33"/>
      <c r="BZ223" s="33"/>
      <c r="CA223" s="33"/>
      <c r="CB223" s="33"/>
      <c r="CC223" s="33"/>
      <c r="CD223" s="33"/>
      <c r="CE223" s="33"/>
      <c r="CF223" s="33"/>
      <c r="CG223" s="33"/>
      <c r="CH223" s="33"/>
      <c r="CI223" s="33"/>
      <c r="CJ223" s="33"/>
      <c r="CK223" s="33"/>
      <c r="CL223" s="33"/>
      <c r="CM223" s="33"/>
      <c r="CN223" s="33"/>
      <c r="CO223" s="33"/>
      <c r="CP223" s="33"/>
    </row>
    <row r="224" spans="1:94" hidden="1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t="str" cm="1">
        <f t="array" ref="E224">IFERROR(INDEX($J$5:$AVX$5, _xlfn.AGGREGATE(15,6, COLUMN(J224:AVX224)-COLUMN(J224)+1 / (J224:AVX224="T"), F224)), "")</f>
        <v/>
      </c>
      <c r="F224" s="97">
        <f>$A$2</f>
        <v>2</v>
      </c>
      <c r="G224" s="35" cm="1">
        <f t="array" ref="G224">IFERROR(INDEX($J$5:$AVW$5,_xlfn.AGGREGATE(14,6,(COLUMN($J224:$AVW224)-COLUMN($J224)+1)/($J224:$AVW224="T"),1)),"")</f>
        <v>45989</v>
      </c>
      <c r="H224" s="100">
        <f>COUNTIF($J224:$AVV224,"T")</f>
        <v>1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  <c r="CE224" s="33"/>
      <c r="CF224" s="33"/>
      <c r="CG224" s="33"/>
      <c r="CH224" s="33"/>
      <c r="CI224" s="33"/>
      <c r="CJ224" s="33"/>
      <c r="CK224" s="33"/>
      <c r="CL224" s="33"/>
      <c r="CM224" s="33"/>
      <c r="CN224" s="33"/>
      <c r="CO224" s="33"/>
      <c r="CP224" s="33"/>
    </row>
    <row r="225" spans="1:94" hidden="1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t="str" cm="1">
        <f t="array" ref="E225">IFERROR(INDEX($J$5:$AVX$5, _xlfn.AGGREGATE(15,6, COLUMN(J225:AVX225)-COLUMN(J225)+1 / (J225:AVX225="T"), F225)), "")</f>
        <v/>
      </c>
      <c r="F225" s="97">
        <f>$A$2</f>
        <v>2</v>
      </c>
      <c r="G225" s="35" cm="1">
        <f t="array" ref="G225">IFERROR(INDEX($J$5:$AVW$5,_xlfn.AGGREGATE(14,6,(COLUMN($J225:$AVW225)-COLUMN($J225)+1)/($J225:$AVW225="T"),1)),"")</f>
        <v>45990</v>
      </c>
      <c r="H225" s="100">
        <f>COUNTIF($J225:$AVV225,"T")</f>
        <v>1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33"/>
      <c r="BO225" s="33"/>
      <c r="BP225" s="33"/>
      <c r="BQ225" s="33"/>
      <c r="BR225" s="33"/>
      <c r="BS225" s="33"/>
      <c r="BT225" s="33"/>
      <c r="BU225" s="33"/>
      <c r="BV225" s="33"/>
      <c r="BW225" s="33"/>
      <c r="BX225" s="33"/>
      <c r="BY225" s="33"/>
      <c r="BZ225" s="33"/>
      <c r="CA225" s="33"/>
      <c r="CB225" s="33"/>
      <c r="CC225" s="33"/>
      <c r="CD225" s="33"/>
      <c r="CE225" s="33"/>
      <c r="CF225" s="33"/>
      <c r="CG225" s="33"/>
      <c r="CH225" s="33"/>
      <c r="CI225" s="33"/>
      <c r="CJ225" s="33"/>
      <c r="CK225" s="33"/>
      <c r="CL225" s="33"/>
      <c r="CM225" s="33"/>
      <c r="CN225" s="33"/>
      <c r="CO225" s="33"/>
      <c r="CP225" s="33"/>
    </row>
    <row r="226" spans="1:94" hidden="1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t="str" cm="1">
        <f t="array" ref="E226">IFERROR(INDEX($J$5:$AVX$5, _xlfn.AGGREGATE(15,6, COLUMN(J226:AVX226)-COLUMN(J226)+1 / (J226:AVX226="T"), F226)), "")</f>
        <v/>
      </c>
      <c r="F226" s="97">
        <f>$A$2</f>
        <v>2</v>
      </c>
      <c r="G226" s="35" cm="1">
        <f t="array" ref="G226">IFERROR(INDEX($J$5:$AVW$5,_xlfn.AGGREGATE(14,6,(COLUMN($J226:$AVW226)-COLUMN($J226)+1)/($J226:$AVW226="T"),1)),"")</f>
        <v>45990</v>
      </c>
      <c r="H226" s="100">
        <f>COUNTIF($J226:$AVV226,"T")</f>
        <v>1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33"/>
      <c r="BO226" s="33"/>
      <c r="BP226" s="33"/>
      <c r="BQ226" s="33"/>
      <c r="BR226" s="33"/>
      <c r="BS226" s="33"/>
      <c r="BT226" s="33"/>
      <c r="BU226" s="33"/>
      <c r="BV226" s="33"/>
      <c r="BW226" s="33"/>
      <c r="BX226" s="33"/>
      <c r="BY226" s="33"/>
      <c r="BZ226" s="33"/>
      <c r="CA226" s="33"/>
      <c r="CB226" s="33"/>
      <c r="CC226" s="33"/>
      <c r="CD226" s="33"/>
      <c r="CE226" s="33"/>
      <c r="CF226" s="33"/>
      <c r="CG226" s="33"/>
      <c r="CH226" s="33"/>
      <c r="CI226" s="33"/>
      <c r="CJ226" s="33"/>
      <c r="CK226" s="33"/>
      <c r="CL226" s="33"/>
      <c r="CM226" s="33"/>
      <c r="CN226" s="33"/>
      <c r="CO226" s="33"/>
      <c r="CP226" s="33"/>
    </row>
    <row r="227" spans="1:94" hidden="1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t="str" cm="1">
        <f t="array" ref="E227">IFERROR(INDEX($J$5:$AVX$5, _xlfn.AGGREGATE(15,6, COLUMN(J227:AVX227)-COLUMN(J227)+1 / (J227:AVX227="T"), F227)), "")</f>
        <v/>
      </c>
      <c r="F227" s="97">
        <f>$A$2</f>
        <v>2</v>
      </c>
      <c r="G227" s="35" cm="1">
        <f t="array" ref="G227">IFERROR(INDEX($J$5:$AVW$5,_xlfn.AGGREGATE(14,6,(COLUMN($J227:$AVW227)-COLUMN($J227)+1)/($J227:$AVW227="T"),1)),"")</f>
        <v>45990</v>
      </c>
      <c r="H227" s="100">
        <f>COUNTIF($J227:$AVV227,"T")</f>
        <v>1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33"/>
      <c r="BO227" s="33"/>
      <c r="BP227" s="33"/>
      <c r="BQ227" s="33"/>
      <c r="BR227" s="33"/>
      <c r="BS227" s="33"/>
      <c r="BT227" s="33"/>
      <c r="BU227" s="33"/>
      <c r="BV227" s="33"/>
      <c r="BW227" s="33"/>
      <c r="BX227" s="33"/>
      <c r="BY227" s="33"/>
      <c r="BZ227" s="33"/>
      <c r="CA227" s="33"/>
      <c r="CB227" s="33"/>
      <c r="CC227" s="33"/>
      <c r="CD227" s="33"/>
      <c r="CE227" s="33"/>
      <c r="CF227" s="33"/>
      <c r="CG227" s="33"/>
      <c r="CH227" s="33"/>
      <c r="CI227" s="33"/>
      <c r="CJ227" s="33"/>
      <c r="CK227" s="33"/>
      <c r="CL227" s="33"/>
      <c r="CM227" s="33"/>
      <c r="CN227" s="33"/>
      <c r="CO227" s="33"/>
      <c r="CP227" s="33"/>
    </row>
    <row r="228" spans="1:94" hidden="1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t="str" cm="1">
        <f t="array" ref="E228">IFERROR(INDEX($J$5:$AVX$5, _xlfn.AGGREGATE(15,6, COLUMN(J228:AVX228)-COLUMN(J228)+1 / (J228:AVX228="T"), F228)), "")</f>
        <v/>
      </c>
      <c r="F228" s="97">
        <f>$A$2</f>
        <v>2</v>
      </c>
      <c r="G228" s="35" cm="1">
        <f t="array" ref="G228">IFERROR(INDEX($J$5:$AVW$5,_xlfn.AGGREGATE(14,6,(COLUMN($J228:$AVW228)-COLUMN($J228)+1)/($J228:$AVW228="T"),1)),"")</f>
        <v>45990</v>
      </c>
      <c r="H228" s="100">
        <f>COUNTIF($J228:$AVV228,"T")</f>
        <v>1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33"/>
      <c r="BP228" s="33"/>
      <c r="BQ228" s="33"/>
      <c r="BR228" s="33"/>
      <c r="BS228" s="33"/>
      <c r="BT228" s="33"/>
      <c r="BU228" s="33"/>
      <c r="BV228" s="33"/>
      <c r="BW228" s="33"/>
      <c r="BX228" s="33"/>
      <c r="BY228" s="33"/>
      <c r="BZ228" s="33"/>
      <c r="CA228" s="33"/>
      <c r="CB228" s="33"/>
      <c r="CC228" s="33"/>
      <c r="CD228" s="33"/>
      <c r="CE228" s="33"/>
      <c r="CF228" s="33"/>
      <c r="CG228" s="33"/>
      <c r="CH228" s="33"/>
      <c r="CI228" s="33"/>
      <c r="CJ228" s="33"/>
      <c r="CK228" s="33"/>
      <c r="CL228" s="33"/>
      <c r="CM228" s="33"/>
      <c r="CN228" s="33"/>
      <c r="CO228" s="33"/>
      <c r="CP228" s="33"/>
    </row>
    <row r="229" spans="1:94" hidden="1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t="str" cm="1">
        <f t="array" ref="E229">IFERROR(INDEX($J$5:$AVX$5, _xlfn.AGGREGATE(15,6, COLUMN(J229:AVX229)-COLUMN(J229)+1 / (J229:AVX229="T"), F229)), "")</f>
        <v/>
      </c>
      <c r="F229" s="97">
        <f>$A$2</f>
        <v>2</v>
      </c>
      <c r="G229" s="35" cm="1">
        <f t="array" ref="G229">IFERROR(INDEX($J$5:$AVW$5,_xlfn.AGGREGATE(14,6,(COLUMN($J229:$AVW229)-COLUMN($J229)+1)/($J229:$AVW229="T"),1)),"")</f>
        <v>45990</v>
      </c>
      <c r="H229" s="100">
        <f>COUNTIF($J229:$AVV229,"T")</f>
        <v>1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33"/>
      <c r="BP229" s="33"/>
      <c r="BQ229" s="33"/>
      <c r="BR229" s="33"/>
      <c r="BS229" s="33"/>
      <c r="BT229" s="33"/>
      <c r="BU229" s="33"/>
      <c r="BV229" s="33"/>
      <c r="BW229" s="33"/>
      <c r="BX229" s="33"/>
      <c r="BY229" s="33"/>
      <c r="BZ229" s="33"/>
      <c r="CA229" s="33"/>
      <c r="CB229" s="33"/>
      <c r="CC229" s="33"/>
      <c r="CD229" s="33"/>
      <c r="CE229" s="33"/>
      <c r="CF229" s="33"/>
      <c r="CG229" s="33"/>
      <c r="CH229" s="33"/>
      <c r="CI229" s="33"/>
      <c r="CJ229" s="33"/>
      <c r="CK229" s="33"/>
      <c r="CL229" s="33"/>
      <c r="CM229" s="33"/>
      <c r="CN229" s="33"/>
      <c r="CO229" s="33"/>
      <c r="CP229" s="33"/>
    </row>
    <row r="230" spans="1:94" hidden="1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t="str" cm="1">
        <f t="array" ref="E230">IFERROR(INDEX($J$5:$AVX$5, _xlfn.AGGREGATE(15,6, COLUMN(J230:AVX230)-COLUMN(J230)+1 / (J230:AVX230="T"), F230)), "")</f>
        <v/>
      </c>
      <c r="F230" s="97">
        <f>$A$2</f>
        <v>2</v>
      </c>
      <c r="G230" s="35" cm="1">
        <f t="array" ref="G230">IFERROR(INDEX($J$5:$AVW$5,_xlfn.AGGREGATE(14,6,(COLUMN($J230:$AVW230)-COLUMN($J230)+1)/($J230:$AVW230="T"),1)),"")</f>
        <v>45990</v>
      </c>
      <c r="H230" s="100">
        <f>COUNTIF($J230:$AVV230,"T")</f>
        <v>1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33"/>
      <c r="BP230" s="33"/>
      <c r="BQ230" s="33"/>
      <c r="BR230" s="33"/>
      <c r="BS230" s="33"/>
      <c r="BT230" s="33"/>
      <c r="BU230" s="33"/>
      <c r="BV230" s="33"/>
      <c r="BW230" s="33"/>
      <c r="BX230" s="33"/>
      <c r="BY230" s="33"/>
      <c r="BZ230" s="33"/>
      <c r="CA230" s="33"/>
      <c r="CB230" s="33"/>
      <c r="CC230" s="33"/>
      <c r="CD230" s="33"/>
      <c r="CE230" s="33"/>
      <c r="CF230" s="33"/>
      <c r="CG230" s="33"/>
      <c r="CH230" s="33"/>
      <c r="CI230" s="33"/>
      <c r="CJ230" s="33"/>
      <c r="CK230" s="33"/>
      <c r="CL230" s="33"/>
      <c r="CM230" s="33"/>
      <c r="CN230" s="33"/>
      <c r="CO230" s="33"/>
      <c r="CP230" s="33"/>
    </row>
    <row r="231" spans="1:94" hidden="1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t="str" cm="1">
        <f t="array" ref="E231">IFERROR(INDEX($J$5:$AVX$5, _xlfn.AGGREGATE(15,6, COLUMN(J231:AVX231)-COLUMN(J231)+1 / (J231:AVX231="T"), F231)), "")</f>
        <v/>
      </c>
      <c r="F231" s="97">
        <f>$A$2</f>
        <v>2</v>
      </c>
      <c r="G231" s="35" cm="1">
        <f t="array" ref="G231">IFERROR(INDEX($J$5:$AVW$5,_xlfn.AGGREGATE(14,6,(COLUMN($J231:$AVW231)-COLUMN($J231)+1)/($J231:$AVW231="T"),1)),"")</f>
        <v>45990</v>
      </c>
      <c r="H231" s="100">
        <f>COUNTIF($J231:$AVV231,"T")</f>
        <v>1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33"/>
      <c r="BP231" s="33"/>
      <c r="BQ231" s="33"/>
      <c r="BR231" s="33"/>
      <c r="BS231" s="33"/>
      <c r="BT231" s="33"/>
      <c r="BU231" s="33"/>
      <c r="BV231" s="33"/>
      <c r="BW231" s="33"/>
      <c r="BX231" s="33"/>
      <c r="BY231" s="33"/>
      <c r="BZ231" s="33"/>
      <c r="CA231" s="33"/>
      <c r="CB231" s="33"/>
      <c r="CC231" s="33"/>
      <c r="CD231" s="33"/>
      <c r="CE231" s="33"/>
      <c r="CF231" s="33"/>
      <c r="CG231" s="33"/>
      <c r="CH231" s="33"/>
      <c r="CI231" s="33"/>
      <c r="CJ231" s="33"/>
      <c r="CK231" s="33"/>
      <c r="CL231" s="33"/>
      <c r="CM231" s="33"/>
      <c r="CN231" s="33"/>
      <c r="CO231" s="33"/>
      <c r="CP231" s="33"/>
    </row>
    <row r="232" spans="1:94" hidden="1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t="str" cm="1">
        <f t="array" ref="E232">IFERROR(INDEX($J$5:$AVX$5, _xlfn.AGGREGATE(15,6, COLUMN(J232:AVX232)-COLUMN(J232)+1 / (J232:AVX232="T"), F232)), "")</f>
        <v/>
      </c>
      <c r="F232" s="97">
        <f>$A$2</f>
        <v>2</v>
      </c>
      <c r="G232" s="35" cm="1">
        <f t="array" ref="G232">IFERROR(INDEX($J$5:$AVW$5,_xlfn.AGGREGATE(14,6,(COLUMN($J232:$AVW232)-COLUMN($J232)+1)/($J232:$AVW232="T"),1)),"")</f>
        <v>45991</v>
      </c>
      <c r="H232" s="100">
        <f>COUNTIF($J232:$AVV232,"T")</f>
        <v>1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33"/>
      <c r="BP232" s="33"/>
      <c r="BQ232" s="33"/>
      <c r="BR232" s="33"/>
      <c r="BS232" s="33"/>
      <c r="BT232" s="33"/>
      <c r="BU232" s="33"/>
      <c r="BV232" s="33"/>
      <c r="BW232" s="33"/>
      <c r="BX232" s="33"/>
      <c r="BY232" s="33"/>
      <c r="BZ232" s="33"/>
      <c r="CA232" s="33"/>
      <c r="CB232" s="33"/>
      <c r="CC232" s="33"/>
      <c r="CD232" s="33"/>
      <c r="CE232" s="33"/>
      <c r="CF232" s="33"/>
      <c r="CG232" s="33"/>
      <c r="CH232" s="33"/>
      <c r="CI232" s="33"/>
      <c r="CJ232" s="33"/>
      <c r="CK232" s="33"/>
      <c r="CL232" s="33"/>
      <c r="CM232" s="33"/>
      <c r="CN232" s="33"/>
      <c r="CO232" s="33"/>
      <c r="CP232" s="33"/>
    </row>
    <row r="233" spans="1:94" hidden="1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t="str" cm="1">
        <f t="array" ref="E233">IFERROR(INDEX($J$5:$AVX$5, _xlfn.AGGREGATE(15,6, COLUMN(J233:AVX233)-COLUMN(J233)+1 / (J233:AVX233="T"), F233)), "")</f>
        <v/>
      </c>
      <c r="F233" s="97">
        <f>$A$2</f>
        <v>2</v>
      </c>
      <c r="G233" s="35" cm="1">
        <f t="array" ref="G233">IFERROR(INDEX($J$5:$AVW$5,_xlfn.AGGREGATE(14,6,(COLUMN($J233:$AVW233)-COLUMN($J233)+1)/($J233:$AVW233="T"),1)),"")</f>
        <v>45991</v>
      </c>
      <c r="H233" s="100">
        <f>COUNTIF($J233:$AVV233,"T")</f>
        <v>1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33"/>
      <c r="BP233" s="33"/>
      <c r="BQ233" s="33"/>
      <c r="BR233" s="33"/>
      <c r="BS233" s="33"/>
      <c r="BT233" s="33"/>
      <c r="BU233" s="33"/>
      <c r="BV233" s="33"/>
      <c r="BW233" s="33"/>
      <c r="BX233" s="33"/>
      <c r="BY233" s="33"/>
      <c r="BZ233" s="33"/>
      <c r="CA233" s="33"/>
      <c r="CB233" s="33"/>
      <c r="CC233" s="33"/>
      <c r="CD233" s="33"/>
      <c r="CE233" s="33"/>
      <c r="CF233" s="33"/>
      <c r="CG233" s="33"/>
      <c r="CH233" s="33"/>
      <c r="CI233" s="33"/>
      <c r="CJ233" s="33"/>
      <c r="CK233" s="33"/>
      <c r="CL233" s="33"/>
      <c r="CM233" s="33"/>
      <c r="CN233" s="33"/>
      <c r="CO233" s="33"/>
      <c r="CP233" s="33"/>
    </row>
    <row r="234" spans="1:94" hidden="1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t="str" cm="1">
        <f t="array" ref="E234">IFERROR(INDEX($J$5:$AVX$5, _xlfn.AGGREGATE(15,6, COLUMN(J234:AVX234)-COLUMN(J234)+1 / (J234:AVX234="T"), F234)), "")</f>
        <v/>
      </c>
      <c r="F234" s="97">
        <f>$A$2</f>
        <v>2</v>
      </c>
      <c r="G234" s="35" cm="1">
        <f t="array" ref="G234">IFERROR(INDEX($J$5:$AVW$5,_xlfn.AGGREGATE(14,6,(COLUMN($J234:$AVW234)-COLUMN($J234)+1)/($J234:$AVW234="T"),1)),"")</f>
        <v>45991</v>
      </c>
      <c r="H234" s="100">
        <f>COUNTIF($J234:$AVV234,"T")</f>
        <v>1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33"/>
      <c r="BP234" s="33"/>
      <c r="BQ234" s="33"/>
      <c r="BR234" s="33"/>
      <c r="BS234" s="33"/>
      <c r="BT234" s="33"/>
      <c r="BU234" s="33"/>
      <c r="BV234" s="33"/>
      <c r="BW234" s="33"/>
      <c r="BX234" s="33"/>
      <c r="BY234" s="33"/>
      <c r="BZ234" s="33"/>
      <c r="CA234" s="33"/>
      <c r="CB234" s="33"/>
      <c r="CC234" s="33"/>
      <c r="CD234" s="33"/>
      <c r="CE234" s="33"/>
      <c r="CF234" s="33"/>
      <c r="CG234" s="33"/>
      <c r="CH234" s="33"/>
      <c r="CI234" s="33"/>
      <c r="CJ234" s="33"/>
      <c r="CK234" s="33"/>
      <c r="CL234" s="33"/>
      <c r="CM234" s="33"/>
      <c r="CN234" s="33"/>
      <c r="CO234" s="33"/>
      <c r="CP234" s="33"/>
    </row>
  </sheetData>
  <autoFilter ref="A13:BS234" xr:uid="{B02859C0-7031-4F52-8D1A-FCBDF86448AE}">
    <filterColumn colId="6">
      <filters>
        <dateGroupItem year="2025" month="12" day="3" dateTimeGrouping="day"/>
      </filters>
    </filterColumn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779" priority="488">
      <formula>LEN(TRIM(E14))=0</formula>
    </cfRule>
  </conditionalFormatting>
  <conditionalFormatting sqref="J114:J119">
    <cfRule type="containsText" dxfId="778" priority="483" operator="containsText" text="T">
      <formula>NOT(ISERROR(SEARCH("T",J114)))</formula>
    </cfRule>
  </conditionalFormatting>
  <conditionalFormatting sqref="J113:T113">
    <cfRule type="containsText" dxfId="777" priority="475" operator="containsText" text="17">
      <formula>NOT(ISERROR(SEARCH("17",J113)))</formula>
    </cfRule>
    <cfRule type="containsText" dxfId="776" priority="476" operator="containsText" text="T">
      <formula>NOT(ISERROR(SEARCH("T",J113)))</formula>
    </cfRule>
  </conditionalFormatting>
  <conditionalFormatting sqref="J67:X68">
    <cfRule type="containsText" dxfId="775" priority="420" operator="containsText" text="17">
      <formula>NOT(ISERROR(SEARCH("17",J67)))</formula>
    </cfRule>
  </conditionalFormatting>
  <conditionalFormatting sqref="J97:X98">
    <cfRule type="containsText" dxfId="774" priority="410" operator="containsText" text="17">
      <formula>NOT(ISERROR(SEARCH("17",J97)))</formula>
    </cfRule>
  </conditionalFormatting>
  <conditionalFormatting sqref="J67:Z68">
    <cfRule type="containsText" dxfId="773" priority="414" operator="containsText" text="T">
      <formula>NOT(ISERROR(SEARCH("T",J67)))</formula>
    </cfRule>
  </conditionalFormatting>
  <conditionalFormatting sqref="J97:Z98">
    <cfRule type="containsText" dxfId="772" priority="404" operator="containsText" text="T">
      <formula>NOT(ISERROR(SEARCH("T",J97)))</formula>
    </cfRule>
  </conditionalFormatting>
  <conditionalFormatting sqref="J127:Z130">
    <cfRule type="containsText" dxfId="771" priority="384" operator="containsText" text="T">
      <formula>NOT(ISERROR(SEARCH("T",J127)))</formula>
    </cfRule>
  </conditionalFormatting>
  <conditionalFormatting sqref="J114:AD119 J113:R113">
    <cfRule type="containsText" dxfId="770" priority="482" operator="containsText" text="17">
      <formula>NOT(ISERROR(SEARCH("17",J113)))</formula>
    </cfRule>
  </conditionalFormatting>
  <conditionalFormatting sqref="J48:AO49">
    <cfRule type="containsText" dxfId="769" priority="157" operator="containsText" text="17">
      <formula>NOT(ISERROR(SEARCH("17",J48)))</formula>
    </cfRule>
  </conditionalFormatting>
  <conditionalFormatting sqref="J63:AP66">
    <cfRule type="containsText" dxfId="768" priority="137" operator="containsText" text="17">
      <formula>NOT(ISERROR(SEARCH("17",J63)))</formula>
    </cfRule>
  </conditionalFormatting>
  <conditionalFormatting sqref="J48:AQ49">
    <cfRule type="containsText" dxfId="767" priority="151" operator="containsText" text="T">
      <formula>NOT(ISERROR(SEARCH("T",J48)))</formula>
    </cfRule>
  </conditionalFormatting>
  <conditionalFormatting sqref="J59:AQ62">
    <cfRule type="containsText" dxfId="766" priority="123" operator="containsText" text="17">
      <formula>NOT(ISERROR(SEARCH("17",J59)))</formula>
    </cfRule>
  </conditionalFormatting>
  <conditionalFormatting sqref="J86:AQ89">
    <cfRule type="containsText" dxfId="765" priority="113" operator="containsText" text="17">
      <formula>NOT(ISERROR(SEARCH("17",J86)))</formula>
    </cfRule>
  </conditionalFormatting>
  <conditionalFormatting sqref="J50:AR53">
    <cfRule type="containsText" dxfId="764" priority="141" operator="containsText" text="T">
      <formula>NOT(ISERROR(SEARCH("T",J50)))</formula>
    </cfRule>
  </conditionalFormatting>
  <conditionalFormatting sqref="J63:AR66">
    <cfRule type="containsText" dxfId="763" priority="131" operator="containsText" text="T">
      <formula>NOT(ISERROR(SEARCH("T",J63)))</formula>
    </cfRule>
  </conditionalFormatting>
  <conditionalFormatting sqref="J83:AR85">
    <cfRule type="containsText" dxfId="762" priority="103" operator="containsText" text="17">
      <formula>NOT(ISERROR(SEARCH("17",J83)))</formula>
    </cfRule>
  </conditionalFormatting>
  <conditionalFormatting sqref="J214:AR217">
    <cfRule type="containsText" dxfId="761" priority="93" operator="containsText" text="17">
      <formula>NOT(ISERROR(SEARCH("17",J214)))</formula>
    </cfRule>
  </conditionalFormatting>
  <conditionalFormatting sqref="J59:AS62">
    <cfRule type="containsText" dxfId="760" priority="117" operator="containsText" text="T">
      <formula>NOT(ISERROR(SEARCH("T",J59)))</formula>
    </cfRule>
  </conditionalFormatting>
  <conditionalFormatting sqref="J86:AS89">
    <cfRule type="containsText" dxfId="759" priority="107" operator="containsText" text="T">
      <formula>NOT(ISERROR(SEARCH("T",J86)))</formula>
    </cfRule>
  </conditionalFormatting>
  <conditionalFormatting sqref="J83:AT85">
    <cfRule type="containsText" dxfId="758" priority="97" operator="containsText" text="T">
      <formula>NOT(ISERROR(SEARCH("T",J83)))</formula>
    </cfRule>
  </conditionalFormatting>
  <conditionalFormatting sqref="J214:AT217">
    <cfRule type="containsText" dxfId="757" priority="87" operator="containsText" text="T">
      <formula>NOT(ISERROR(SEARCH("T",J214)))</formula>
    </cfRule>
  </conditionalFormatting>
  <conditionalFormatting sqref="K77:K82">
    <cfRule type="containsText" dxfId="756" priority="470" operator="containsText" text="T">
      <formula>NOT(ISERROR(SEARCH("T",K77)))</formula>
    </cfRule>
  </conditionalFormatting>
  <conditionalFormatting sqref="K76:U76">
    <cfRule type="containsText" dxfId="755" priority="462" operator="containsText" text="17">
      <formula>NOT(ISERROR(SEARCH("17",K76)))</formula>
    </cfRule>
    <cfRule type="containsText" dxfId="754" priority="463" operator="containsText" text="T">
      <formula>NOT(ISERROR(SEARCH("T",K76)))</formula>
    </cfRule>
  </conditionalFormatting>
  <conditionalFormatting sqref="K77:AE82 K76:S76">
    <cfRule type="containsText" dxfId="753" priority="469" operator="containsText" text="17">
      <formula>NOT(ISERROR(SEARCH("17",K76)))</formula>
    </cfRule>
  </conditionalFormatting>
  <conditionalFormatting sqref="L107:L112">
    <cfRule type="containsText" dxfId="752" priority="457" operator="containsText" text="T">
      <formula>NOT(ISERROR(SEARCH("T",L107)))</formula>
    </cfRule>
  </conditionalFormatting>
  <conditionalFormatting sqref="L106:V106">
    <cfRule type="containsText" dxfId="751" priority="449" operator="containsText" text="17">
      <formula>NOT(ISERROR(SEARCH("17",L106)))</formula>
    </cfRule>
    <cfRule type="containsText" dxfId="750" priority="450" operator="containsText" text="T">
      <formula>NOT(ISERROR(SEARCH("T",L106)))</formula>
    </cfRule>
  </conditionalFormatting>
  <conditionalFormatting sqref="L107:AF112 L106:T106">
    <cfRule type="containsText" dxfId="749" priority="456" operator="containsText" text="17">
      <formula>NOT(ISERROR(SEARCH("17",L106)))</formula>
    </cfRule>
  </conditionalFormatting>
  <conditionalFormatting sqref="N70:N75">
    <cfRule type="containsText" dxfId="748" priority="444" operator="containsText" text="T">
      <formula>NOT(ISERROR(SEARCH("T",N70)))</formula>
    </cfRule>
  </conditionalFormatting>
  <conditionalFormatting sqref="N69:X69">
    <cfRule type="containsText" dxfId="747" priority="436" operator="containsText" text="17">
      <formula>NOT(ISERROR(SEARCH("17",N69)))</formula>
    </cfRule>
    <cfRule type="containsText" dxfId="746" priority="437" operator="containsText" text="T">
      <formula>NOT(ISERROR(SEARCH("T",N69)))</formula>
    </cfRule>
  </conditionalFormatting>
  <conditionalFormatting sqref="N70:AH75 N69:V69">
    <cfRule type="containsText" dxfId="745" priority="443" operator="containsText" text="17">
      <formula>NOT(ISERROR(SEARCH("17",N69)))</formula>
    </cfRule>
  </conditionalFormatting>
  <conditionalFormatting sqref="O100:O105">
    <cfRule type="containsText" dxfId="744" priority="431" operator="containsText" text="T">
      <formula>NOT(ISERROR(SEARCH("T",O100)))</formula>
    </cfRule>
  </conditionalFormatting>
  <conditionalFormatting sqref="O99:Y99">
    <cfRule type="containsText" dxfId="743" priority="423" operator="containsText" text="17">
      <formula>NOT(ISERROR(SEARCH("17",O99)))</formula>
    </cfRule>
    <cfRule type="containsText" dxfId="742" priority="424" operator="containsText" text="T">
      <formula>NOT(ISERROR(SEARCH("T",O99)))</formula>
    </cfRule>
  </conditionalFormatting>
  <conditionalFormatting sqref="O100:AI105 O99:W99">
    <cfRule type="containsText" dxfId="741" priority="430" operator="containsText" text="17">
      <formula>NOT(ISERROR(SEARCH("17",O99)))</formula>
    </cfRule>
  </conditionalFormatting>
  <conditionalFormatting sqref="P67:Z68">
    <cfRule type="containsText" dxfId="740" priority="413" operator="containsText" text="17">
      <formula>NOT(ISERROR(SEARCH("17",P67)))</formula>
    </cfRule>
  </conditionalFormatting>
  <conditionalFormatting sqref="P97:Z98">
    <cfRule type="containsText" dxfId="739" priority="403" operator="containsText" text="17">
      <formula>NOT(ISERROR(SEARCH("17",P97)))</formula>
    </cfRule>
  </conditionalFormatting>
  <conditionalFormatting sqref="P127:Z130">
    <cfRule type="containsText" dxfId="738" priority="383" operator="containsText" text="17">
      <formula>NOT(ISERROR(SEARCH("17",P127)))</formula>
    </cfRule>
  </conditionalFormatting>
  <conditionalFormatting sqref="Q132:Q137">
    <cfRule type="containsText" dxfId="737" priority="378" operator="containsText" text="T">
      <formula>NOT(ISERROR(SEARCH("T",Q132)))</formula>
    </cfRule>
  </conditionalFormatting>
  <conditionalFormatting sqref="Q131:AA131">
    <cfRule type="containsText" dxfId="736" priority="370" operator="containsText" text="17">
      <formula>NOT(ISERROR(SEARCH("17",Q131)))</formula>
    </cfRule>
    <cfRule type="containsText" dxfId="735" priority="371" operator="containsText" text="T">
      <formula>NOT(ISERROR(SEARCH("T",Q131)))</formula>
    </cfRule>
  </conditionalFormatting>
  <conditionalFormatting sqref="Q132:AK137 Q131:Y131">
    <cfRule type="containsText" dxfId="734" priority="377" operator="containsText" text="17">
      <formula>NOT(ISERROR(SEARCH("17",Q131)))</formula>
    </cfRule>
  </conditionalFormatting>
  <conditionalFormatting sqref="R139:R144">
    <cfRule type="containsText" dxfId="733" priority="365" operator="containsText" text="T">
      <formula>NOT(ISERROR(SEARCH("T",R139)))</formula>
    </cfRule>
  </conditionalFormatting>
  <conditionalFormatting sqref="R138:AB138">
    <cfRule type="containsText" dxfId="732" priority="357" operator="containsText" text="17">
      <formula>NOT(ISERROR(SEARCH("17",R138)))</formula>
    </cfRule>
    <cfRule type="containsText" dxfId="731" priority="358" operator="containsText" text="T">
      <formula>NOT(ISERROR(SEARCH("T",R138)))</formula>
    </cfRule>
  </conditionalFormatting>
  <conditionalFormatting sqref="R139:AL144 R138:Z138">
    <cfRule type="containsText" dxfId="730" priority="364" operator="containsText" text="17">
      <formula>NOT(ISERROR(SEARCH("17",R138)))</formula>
    </cfRule>
  </conditionalFormatting>
  <conditionalFormatting sqref="S146:S151">
    <cfRule type="containsText" dxfId="729" priority="352" operator="containsText" text="T">
      <formula>NOT(ISERROR(SEARCH("T",S146)))</formula>
    </cfRule>
  </conditionalFormatting>
  <conditionalFormatting sqref="S145:AC145">
    <cfRule type="containsText" dxfId="728" priority="344" operator="containsText" text="17">
      <formula>NOT(ISERROR(SEARCH("17",S145)))</formula>
    </cfRule>
    <cfRule type="containsText" dxfId="727" priority="345" operator="containsText" text="T">
      <formula>NOT(ISERROR(SEARCH("T",S145)))</formula>
    </cfRule>
  </conditionalFormatting>
  <conditionalFormatting sqref="S146:AM151 S145:AA145">
    <cfRule type="containsText" dxfId="726" priority="351" operator="containsText" text="17">
      <formula>NOT(ISERROR(SEARCH("17",S145)))</formula>
    </cfRule>
  </conditionalFormatting>
  <conditionalFormatting sqref="T153:T158">
    <cfRule type="containsText" dxfId="725" priority="339" operator="containsText" text="T">
      <formula>NOT(ISERROR(SEARCH("T",T153)))</formula>
    </cfRule>
  </conditionalFormatting>
  <conditionalFormatting sqref="T152:AD152">
    <cfRule type="containsText" dxfId="724" priority="331" operator="containsText" text="17">
      <formula>NOT(ISERROR(SEARCH("17",T152)))</formula>
    </cfRule>
    <cfRule type="containsText" dxfId="723" priority="332" operator="containsText" text="T">
      <formula>NOT(ISERROR(SEARCH("T",T152)))</formula>
    </cfRule>
  </conditionalFormatting>
  <conditionalFormatting sqref="T153:AN158 T152:AB152">
    <cfRule type="containsText" dxfId="722" priority="338" operator="containsText" text="17">
      <formula>NOT(ISERROR(SEARCH("17",T152)))</formula>
    </cfRule>
  </conditionalFormatting>
  <conditionalFormatting sqref="U160:U165">
    <cfRule type="containsText" dxfId="721" priority="326" operator="containsText" text="T">
      <formula>NOT(ISERROR(SEARCH("T",U160)))</formula>
    </cfRule>
  </conditionalFormatting>
  <conditionalFormatting sqref="U113:AA113">
    <cfRule type="containsText" dxfId="720" priority="484" operator="containsText" text="17">
      <formula>NOT(ISERROR(SEARCH("17",U113)))</formula>
    </cfRule>
    <cfRule type="containsText" dxfId="719" priority="485" operator="containsText" text="T">
      <formula>NOT(ISERROR(SEARCH("T",U113)))</formula>
    </cfRule>
  </conditionalFormatting>
  <conditionalFormatting sqref="U159:AE159">
    <cfRule type="containsText" dxfId="718" priority="318" operator="containsText" text="17">
      <formula>NOT(ISERROR(SEARCH("17",U159)))</formula>
    </cfRule>
    <cfRule type="containsText" dxfId="717" priority="319" operator="containsText" text="T">
      <formula>NOT(ISERROR(SEARCH("T",U159)))</formula>
    </cfRule>
  </conditionalFormatting>
  <conditionalFormatting sqref="U160:AO165 U159:AC159">
    <cfRule type="containsText" dxfId="716" priority="325" operator="containsText" text="17">
      <formula>NOT(ISERROR(SEARCH("17",U159)))</formula>
    </cfRule>
  </conditionalFormatting>
  <conditionalFormatting sqref="V113">
    <cfRule type="containsText" dxfId="715" priority="480" operator="containsText" text="17">
      <formula>NOT(ISERROR(SEARCH("17",V113)))</formula>
    </cfRule>
    <cfRule type="containsText" dxfId="714" priority="481" operator="containsText" text="T">
      <formula>NOT(ISERROR(SEARCH("T",V113)))</formula>
    </cfRule>
  </conditionalFormatting>
  <conditionalFormatting sqref="V208:V213">
    <cfRule type="containsText" dxfId="713" priority="313" operator="containsText" text="T">
      <formula>NOT(ISERROR(SEARCH("T",V208)))</formula>
    </cfRule>
  </conditionalFormatting>
  <conditionalFormatting sqref="V76:AB76">
    <cfRule type="containsText" dxfId="712" priority="471" operator="containsText" text="17">
      <formula>NOT(ISERROR(SEARCH("17",V76)))</formula>
    </cfRule>
    <cfRule type="containsText" dxfId="711" priority="472" operator="containsText" text="T">
      <formula>NOT(ISERROR(SEARCH("T",V76)))</formula>
    </cfRule>
  </conditionalFormatting>
  <conditionalFormatting sqref="V207:AF207">
    <cfRule type="containsText" dxfId="710" priority="305" operator="containsText" text="17">
      <formula>NOT(ISERROR(SEARCH("17",V207)))</formula>
    </cfRule>
    <cfRule type="containsText" dxfId="709" priority="306" operator="containsText" text="T">
      <formula>NOT(ISERROR(SEARCH("T",V207)))</formula>
    </cfRule>
  </conditionalFormatting>
  <conditionalFormatting sqref="V208:AP213 V207:AD207">
    <cfRule type="containsText" dxfId="708" priority="312" operator="containsText" text="17">
      <formula>NOT(ISERROR(SEARCH("17",V207)))</formula>
    </cfRule>
  </conditionalFormatting>
  <conditionalFormatting sqref="W76">
    <cfRule type="containsText" dxfId="707" priority="467" operator="containsText" text="17">
      <formula>NOT(ISERROR(SEARCH("17",W76)))</formula>
    </cfRule>
    <cfRule type="containsText" dxfId="706" priority="468" operator="containsText" text="T">
      <formula>NOT(ISERROR(SEARCH("T",W76)))</formula>
    </cfRule>
  </conditionalFormatting>
  <conditionalFormatting sqref="W201:W206">
    <cfRule type="containsText" dxfId="705" priority="300" operator="containsText" text="T">
      <formula>NOT(ISERROR(SEARCH("T",W201)))</formula>
    </cfRule>
  </conditionalFormatting>
  <conditionalFormatting sqref="W106:AC106">
    <cfRule type="containsText" dxfId="704" priority="458" operator="containsText" text="17">
      <formula>NOT(ISERROR(SEARCH("17",W106)))</formula>
    </cfRule>
    <cfRule type="containsText" dxfId="703" priority="459" operator="containsText" text="T">
      <formula>NOT(ISERROR(SEARCH("T",W106)))</formula>
    </cfRule>
  </conditionalFormatting>
  <conditionalFormatting sqref="W200:AG200">
    <cfRule type="containsText" dxfId="702" priority="292" operator="containsText" text="17">
      <formula>NOT(ISERROR(SEARCH("17",W200)))</formula>
    </cfRule>
    <cfRule type="containsText" dxfId="701" priority="293" operator="containsText" text="T">
      <formula>NOT(ISERROR(SEARCH("T",W200)))</formula>
    </cfRule>
  </conditionalFormatting>
  <conditionalFormatting sqref="W201:AQ206 W200:AE200">
    <cfRule type="containsText" dxfId="700" priority="299" operator="containsText" text="17">
      <formula>NOT(ISERROR(SEARCH("17",W200)))</formula>
    </cfRule>
  </conditionalFormatting>
  <conditionalFormatting sqref="X106">
    <cfRule type="containsText" dxfId="699" priority="454" operator="containsText" text="17">
      <formula>NOT(ISERROR(SEARCH("17",X106)))</formula>
    </cfRule>
    <cfRule type="containsText" dxfId="698" priority="455" operator="containsText" text="T">
      <formula>NOT(ISERROR(SEARCH("T",X106)))</formula>
    </cfRule>
  </conditionalFormatting>
  <conditionalFormatting sqref="X194:X199">
    <cfRule type="containsText" dxfId="697" priority="287" operator="containsText" text="T">
      <formula>NOT(ISERROR(SEARCH("T",X194)))</formula>
    </cfRule>
  </conditionalFormatting>
  <conditionalFormatting sqref="X192:AH193">
    <cfRule type="containsText" dxfId="696" priority="274" operator="containsText" text="17">
      <formula>NOT(ISERROR(SEARCH("17",X192)))</formula>
    </cfRule>
    <cfRule type="containsText" dxfId="695" priority="275" operator="containsText" text="T">
      <formula>NOT(ISERROR(SEARCH("T",X192)))</formula>
    </cfRule>
  </conditionalFormatting>
  <conditionalFormatting sqref="Y169:Y174">
    <cfRule type="containsText" dxfId="694" priority="269" operator="containsText" text="T">
      <formula>NOT(ISERROR(SEARCH("T",Y169)))</formula>
    </cfRule>
  </conditionalFormatting>
  <conditionalFormatting sqref="Y69:AE69">
    <cfRule type="containsText" dxfId="693" priority="445" operator="containsText" text="17">
      <formula>NOT(ISERROR(SEARCH("17",Y69)))</formula>
    </cfRule>
    <cfRule type="containsText" dxfId="692" priority="446" operator="containsText" text="T">
      <formula>NOT(ISERROR(SEARCH("T",Y69)))</formula>
    </cfRule>
  </conditionalFormatting>
  <conditionalFormatting sqref="Y168:AI168">
    <cfRule type="containsText" dxfId="691" priority="261" operator="containsText" text="17">
      <formula>NOT(ISERROR(SEARCH("17",Y168)))</formula>
    </cfRule>
    <cfRule type="containsText" dxfId="690" priority="262" operator="containsText" text="T">
      <formula>NOT(ISERROR(SEARCH("T",Y168)))</formula>
    </cfRule>
  </conditionalFormatting>
  <conditionalFormatting sqref="Y169:AS174 Y168:AG168">
    <cfRule type="containsText" dxfId="689" priority="268" operator="containsText" text="17">
      <formula>NOT(ISERROR(SEARCH("17",Y168)))</formula>
    </cfRule>
  </conditionalFormatting>
  <conditionalFormatting sqref="Z69">
    <cfRule type="containsText" dxfId="688" priority="441" operator="containsText" text="17">
      <formula>NOT(ISERROR(SEARCH("17",Z69)))</formula>
    </cfRule>
    <cfRule type="containsText" dxfId="687" priority="442" operator="containsText" text="T">
      <formula>NOT(ISERROR(SEARCH("T",Z69)))</formula>
    </cfRule>
  </conditionalFormatting>
  <conditionalFormatting sqref="Z176:Z181">
    <cfRule type="containsText" dxfId="686" priority="256" operator="containsText" text="T">
      <formula>NOT(ISERROR(SEARCH("T",Z176)))</formula>
    </cfRule>
  </conditionalFormatting>
  <conditionalFormatting sqref="Z99:AF99">
    <cfRule type="containsText" dxfId="685" priority="432" operator="containsText" text="17">
      <formula>NOT(ISERROR(SEARCH("17",Z99)))</formula>
    </cfRule>
    <cfRule type="containsText" dxfId="684" priority="433" operator="containsText" text="T">
      <formula>NOT(ISERROR(SEARCH("T",Z99)))</formula>
    </cfRule>
  </conditionalFormatting>
  <conditionalFormatting sqref="Z175:AJ175">
    <cfRule type="containsText" dxfId="683" priority="248" operator="containsText" text="17">
      <formula>NOT(ISERROR(SEARCH("17",Z175)))</formula>
    </cfRule>
    <cfRule type="containsText" dxfId="682" priority="249" operator="containsText" text="T">
      <formula>NOT(ISERROR(SEARCH("T",Z175)))</formula>
    </cfRule>
  </conditionalFormatting>
  <conditionalFormatting sqref="Z176:AT181 Z175:AH175">
    <cfRule type="containsText" dxfId="681" priority="255" operator="containsText" text="17">
      <formula>NOT(ISERROR(SEARCH("17",Z175)))</formula>
    </cfRule>
  </conditionalFormatting>
  <conditionalFormatting sqref="AA99">
    <cfRule type="containsText" dxfId="680" priority="428" operator="containsText" text="17">
      <formula>NOT(ISERROR(SEARCH("17",AA99)))</formula>
    </cfRule>
    <cfRule type="containsText" dxfId="679" priority="429" operator="containsText" text="T">
      <formula>NOT(ISERROR(SEARCH("T",AA99)))</formula>
    </cfRule>
  </conditionalFormatting>
  <conditionalFormatting sqref="AA113 AE113:AG113 J114:AD119 AG114:AG119">
    <cfRule type="containsText" dxfId="678" priority="477" operator="containsText" text="T">
      <formula>NOT(ISERROR(SEARCH("T",J113)))</formula>
    </cfRule>
  </conditionalFormatting>
  <conditionalFormatting sqref="AA183:AA190">
    <cfRule type="containsText" dxfId="677" priority="243" operator="containsText" text="T">
      <formula>NOT(ISERROR(SEARCH("T",AA183)))</formula>
    </cfRule>
  </conditionalFormatting>
  <conditionalFormatting sqref="AA113:AB113 AE113:AG113 AG114:AG119">
    <cfRule type="containsText" dxfId="676" priority="478" operator="containsText" text="17">
      <formula>NOT(ISERROR(SEARCH("17",AA113)))</formula>
    </cfRule>
  </conditionalFormatting>
  <conditionalFormatting sqref="AA67:AG68">
    <cfRule type="containsText" dxfId="675" priority="421" operator="containsText" text="17">
      <formula>NOT(ISERROR(SEARCH("17",AA67)))</formula>
    </cfRule>
    <cfRule type="containsText" dxfId="674" priority="422" operator="containsText" text="T">
      <formula>NOT(ISERROR(SEARCH("T",AA67)))</formula>
    </cfRule>
  </conditionalFormatting>
  <conditionalFormatting sqref="AA97:AG98">
    <cfRule type="containsText" dxfId="673" priority="411" operator="containsText" text="17">
      <formula>NOT(ISERROR(SEARCH("17",AA97)))</formula>
    </cfRule>
    <cfRule type="containsText" dxfId="672" priority="412" operator="containsText" text="T">
      <formula>NOT(ISERROR(SEARCH("T",AA97)))</formula>
    </cfRule>
  </conditionalFormatting>
  <conditionalFormatting sqref="AA127:AG130">
    <cfRule type="containsText" dxfId="671" priority="391" operator="containsText" text="17">
      <formula>NOT(ISERROR(SEARCH("17",AA127)))</formula>
    </cfRule>
    <cfRule type="containsText" dxfId="670" priority="392" operator="containsText" text="T">
      <formula>NOT(ISERROR(SEARCH("T",AA127)))</formula>
    </cfRule>
  </conditionalFormatting>
  <conditionalFormatting sqref="AA182:AK182">
    <cfRule type="containsText" dxfId="669" priority="235" operator="containsText" text="17">
      <formula>NOT(ISERROR(SEARCH("17",AA182)))</formula>
    </cfRule>
    <cfRule type="containsText" dxfId="668" priority="236" operator="containsText" text="T">
      <formula>NOT(ISERROR(SEARCH("T",AA182)))</formula>
    </cfRule>
  </conditionalFormatting>
  <conditionalFormatting sqref="AA183:AU190 AA182:AI182">
    <cfRule type="containsText" dxfId="667" priority="242" operator="containsText" text="17">
      <formula>NOT(ISERROR(SEARCH("17",AA182)))</formula>
    </cfRule>
  </conditionalFormatting>
  <conditionalFormatting sqref="AB67:AB68">
    <cfRule type="containsText" dxfId="666" priority="418" operator="containsText" text="17">
      <formula>NOT(ISERROR(SEARCH("17",AB67)))</formula>
    </cfRule>
    <cfRule type="containsText" dxfId="665" priority="419" operator="containsText" text="T">
      <formula>NOT(ISERROR(SEARCH("T",AB67)))</formula>
    </cfRule>
  </conditionalFormatting>
  <conditionalFormatting sqref="AB76 AF76:AH76 K77:AE82 AH77:AH82">
    <cfRule type="containsText" dxfId="664" priority="464" operator="containsText" text="T">
      <formula>NOT(ISERROR(SEARCH("T",K76)))</formula>
    </cfRule>
  </conditionalFormatting>
  <conditionalFormatting sqref="AB91:AB96">
    <cfRule type="containsText" dxfId="663" priority="230" operator="containsText" text="T">
      <formula>NOT(ISERROR(SEARCH("T",AB91)))</formula>
    </cfRule>
  </conditionalFormatting>
  <conditionalFormatting sqref="AB97:AB98">
    <cfRule type="containsText" dxfId="662" priority="408" operator="containsText" text="17">
      <formula>NOT(ISERROR(SEARCH("17",AB97)))</formula>
    </cfRule>
    <cfRule type="containsText" dxfId="661" priority="409" operator="containsText" text="T">
      <formula>NOT(ISERROR(SEARCH("T",AB97)))</formula>
    </cfRule>
  </conditionalFormatting>
  <conditionalFormatting sqref="AB113">
    <cfRule type="containsText" dxfId="660" priority="479" operator="containsText" text="T">
      <formula>NOT(ISERROR(SEARCH("T",AB113)))</formula>
    </cfRule>
  </conditionalFormatting>
  <conditionalFormatting sqref="AB127:AB130">
    <cfRule type="containsText" dxfId="659" priority="388" operator="containsText" text="17">
      <formula>NOT(ISERROR(SEARCH("17",AB127)))</formula>
    </cfRule>
    <cfRule type="containsText" dxfId="658" priority="389" operator="containsText" text="T">
      <formula>NOT(ISERROR(SEARCH("T",AB127)))</formula>
    </cfRule>
  </conditionalFormatting>
  <conditionalFormatting sqref="AB76:AC76 AF76:AH76 AH77:AH82">
    <cfRule type="containsText" dxfId="657" priority="465" operator="containsText" text="17">
      <formula>NOT(ISERROR(SEARCH("17",AB76)))</formula>
    </cfRule>
  </conditionalFormatting>
  <conditionalFormatting sqref="AB131:AH131">
    <cfRule type="containsText" dxfId="656" priority="379" operator="containsText" text="17">
      <formula>NOT(ISERROR(SEARCH("17",AB131)))</formula>
    </cfRule>
    <cfRule type="containsText" dxfId="655" priority="380" operator="containsText" text="T">
      <formula>NOT(ISERROR(SEARCH("T",AB131)))</formula>
    </cfRule>
  </conditionalFormatting>
  <conditionalFormatting sqref="AB90:AL90">
    <cfRule type="containsText" dxfId="654" priority="222" operator="containsText" text="17">
      <formula>NOT(ISERROR(SEARCH("17",AB90)))</formula>
    </cfRule>
    <cfRule type="containsText" dxfId="653" priority="223" operator="containsText" text="T">
      <formula>NOT(ISERROR(SEARCH("T",AB90)))</formula>
    </cfRule>
  </conditionalFormatting>
  <conditionalFormatting sqref="AB91:AV96 AB90:AJ90">
    <cfRule type="containsText" dxfId="652" priority="229" operator="containsText" text="17">
      <formula>NOT(ISERROR(SEARCH("17",AB90)))</formula>
    </cfRule>
  </conditionalFormatting>
  <conditionalFormatting sqref="AC15:AC20">
    <cfRule type="containsText" dxfId="651" priority="217" operator="containsText" text="T">
      <formula>NOT(ISERROR(SEARCH("T",AC15)))</formula>
    </cfRule>
  </conditionalFormatting>
  <conditionalFormatting sqref="AC76">
    <cfRule type="containsText" dxfId="650" priority="466" operator="containsText" text="T">
      <formula>NOT(ISERROR(SEARCH("T",AC76)))</formula>
    </cfRule>
  </conditionalFormatting>
  <conditionalFormatting sqref="AC106 AG106:AI106 L107:AF112 AI107:AI112">
    <cfRule type="containsText" dxfId="649" priority="451" operator="containsText" text="T">
      <formula>NOT(ISERROR(SEARCH("T",L106)))</formula>
    </cfRule>
  </conditionalFormatting>
  <conditionalFormatting sqref="AC131">
    <cfRule type="containsText" dxfId="648" priority="375" operator="containsText" text="17">
      <formula>NOT(ISERROR(SEARCH("17",AC131)))</formula>
    </cfRule>
    <cfRule type="containsText" dxfId="647" priority="376" operator="containsText" text="T">
      <formula>NOT(ISERROR(SEARCH("T",AC131)))</formula>
    </cfRule>
  </conditionalFormatting>
  <conditionalFormatting sqref="AC106:AD106 AG106:AI106 AI107:AI112">
    <cfRule type="containsText" dxfId="646" priority="452" operator="containsText" text="17">
      <formula>NOT(ISERROR(SEARCH("17",AC106)))</formula>
    </cfRule>
  </conditionalFormatting>
  <conditionalFormatting sqref="AC138:AI138">
    <cfRule type="containsText" dxfId="645" priority="366" operator="containsText" text="17">
      <formula>NOT(ISERROR(SEARCH("17",AC138)))</formula>
    </cfRule>
    <cfRule type="containsText" dxfId="644" priority="367" operator="containsText" text="T">
      <formula>NOT(ISERROR(SEARCH("T",AC138)))</formula>
    </cfRule>
  </conditionalFormatting>
  <conditionalFormatting sqref="AC14:AM14">
    <cfRule type="containsText" dxfId="643" priority="209" operator="containsText" text="17">
      <formula>NOT(ISERROR(SEARCH("17",AC14)))</formula>
    </cfRule>
    <cfRule type="containsText" dxfId="642" priority="210" operator="containsText" text="T">
      <formula>NOT(ISERROR(SEARCH("T",AC14)))</formula>
    </cfRule>
  </conditionalFormatting>
  <conditionalFormatting sqref="AC15:AW20 AC14:AK14">
    <cfRule type="containsText" dxfId="641" priority="216" operator="containsText" text="17">
      <formula>NOT(ISERROR(SEARCH("17",AC14)))</formula>
    </cfRule>
  </conditionalFormatting>
  <conditionalFormatting sqref="AD35:AD40">
    <cfRule type="containsText" dxfId="640" priority="204" operator="containsText" text="T">
      <formula>NOT(ISERROR(SEARCH("T",AD35)))</formula>
    </cfRule>
  </conditionalFormatting>
  <conditionalFormatting sqref="AD106">
    <cfRule type="containsText" dxfId="639" priority="453" operator="containsText" text="T">
      <formula>NOT(ISERROR(SEARCH("T",AD106)))</formula>
    </cfRule>
  </conditionalFormatting>
  <conditionalFormatting sqref="AD138">
    <cfRule type="containsText" dxfId="638" priority="362" operator="containsText" text="17">
      <formula>NOT(ISERROR(SEARCH("17",AD138)))</formula>
    </cfRule>
    <cfRule type="containsText" dxfId="637" priority="363" operator="containsText" text="T">
      <formula>NOT(ISERROR(SEARCH("T",AD138)))</formula>
    </cfRule>
  </conditionalFormatting>
  <conditionalFormatting sqref="AD145:AJ145">
    <cfRule type="containsText" dxfId="636" priority="353" operator="containsText" text="17">
      <formula>NOT(ISERROR(SEARCH("17",AD145)))</formula>
    </cfRule>
    <cfRule type="containsText" dxfId="635" priority="354" operator="containsText" text="T">
      <formula>NOT(ISERROR(SEARCH("T",AD145)))</formula>
    </cfRule>
  </conditionalFormatting>
  <conditionalFormatting sqref="AD34:AN34">
    <cfRule type="containsText" dxfId="634" priority="196" operator="containsText" text="17">
      <formula>NOT(ISERROR(SEARCH("17",AD34)))</formula>
    </cfRule>
    <cfRule type="containsText" dxfId="633" priority="197" operator="containsText" text="T">
      <formula>NOT(ISERROR(SEARCH("T",AD34)))</formula>
    </cfRule>
  </conditionalFormatting>
  <conditionalFormatting sqref="AD35:AX40 AD34:AL34">
    <cfRule type="containsText" dxfId="632" priority="203" operator="containsText" text="17">
      <formula>NOT(ISERROR(SEARCH("17",AD34)))</formula>
    </cfRule>
  </conditionalFormatting>
  <conditionalFormatting sqref="AE22:AE27">
    <cfRule type="containsText" dxfId="631" priority="191" operator="containsText" text="T">
      <formula>NOT(ISERROR(SEARCH("T",AE22)))</formula>
    </cfRule>
  </conditionalFormatting>
  <conditionalFormatting sqref="AE69 AI69:AK69 N70:AH75 AK70:AK75">
    <cfRule type="containsText" dxfId="630" priority="438" operator="containsText" text="T">
      <formula>NOT(ISERROR(SEARCH("T",N69)))</formula>
    </cfRule>
  </conditionalFormatting>
  <conditionalFormatting sqref="AE145">
    <cfRule type="containsText" dxfId="629" priority="349" operator="containsText" text="17">
      <formula>NOT(ISERROR(SEARCH("17",AE145)))</formula>
    </cfRule>
    <cfRule type="containsText" dxfId="628" priority="350" operator="containsText" text="T">
      <formula>NOT(ISERROR(SEARCH("T",AE145)))</formula>
    </cfRule>
  </conditionalFormatting>
  <conditionalFormatting sqref="AE69:AF69 AI69:AK69 AK70:AK75">
    <cfRule type="containsText" dxfId="627" priority="439" operator="containsText" text="17">
      <formula>NOT(ISERROR(SEARCH("17",AE69)))</formula>
    </cfRule>
  </conditionalFormatting>
  <conditionalFormatting sqref="AE152:AK152">
    <cfRule type="containsText" dxfId="626" priority="340" operator="containsText" text="17">
      <formula>NOT(ISERROR(SEARCH("17",AE152)))</formula>
    </cfRule>
    <cfRule type="containsText" dxfId="625" priority="341" operator="containsText" text="T">
      <formula>NOT(ISERROR(SEARCH("T",AE152)))</formula>
    </cfRule>
  </conditionalFormatting>
  <conditionalFormatting sqref="AE21:AO21">
    <cfRule type="containsText" dxfId="624" priority="183" operator="containsText" text="17">
      <formula>NOT(ISERROR(SEARCH("17",AE21)))</formula>
    </cfRule>
    <cfRule type="containsText" dxfId="623" priority="184" operator="containsText" text="T">
      <formula>NOT(ISERROR(SEARCH("T",AE21)))</formula>
    </cfRule>
  </conditionalFormatting>
  <conditionalFormatting sqref="AE22:AY27 AE21:AM21">
    <cfRule type="containsText" dxfId="622" priority="190" operator="containsText" text="17">
      <formula>NOT(ISERROR(SEARCH("17",AE21)))</formula>
    </cfRule>
  </conditionalFormatting>
  <conditionalFormatting sqref="AF42:AF47">
    <cfRule type="containsText" dxfId="621" priority="178" operator="containsText" text="T">
      <formula>NOT(ISERROR(SEARCH("T",AF42)))</formula>
    </cfRule>
  </conditionalFormatting>
  <conditionalFormatting sqref="AF69">
    <cfRule type="containsText" dxfId="620" priority="440" operator="containsText" text="T">
      <formula>NOT(ISERROR(SEARCH("T",AF69)))</formula>
    </cfRule>
  </conditionalFormatting>
  <conditionalFormatting sqref="AF99 AJ99:AL99 O100:AI105 AL100:AL105">
    <cfRule type="containsText" dxfId="619" priority="425" operator="containsText" text="T">
      <formula>NOT(ISERROR(SEARCH("T",O99)))</formula>
    </cfRule>
  </conditionalFormatting>
  <conditionalFormatting sqref="AF152">
    <cfRule type="containsText" dxfId="618" priority="336" operator="containsText" text="17">
      <formula>NOT(ISERROR(SEARCH("17",AF152)))</formula>
    </cfRule>
    <cfRule type="containsText" dxfId="617" priority="337" operator="containsText" text="T">
      <formula>NOT(ISERROR(SEARCH("T",AF152)))</formula>
    </cfRule>
  </conditionalFormatting>
  <conditionalFormatting sqref="AF99:AG99 AJ99:AL99 AL100:AL105">
    <cfRule type="containsText" dxfId="616" priority="426" operator="containsText" text="17">
      <formula>NOT(ISERROR(SEARCH("17",AF99)))</formula>
    </cfRule>
  </conditionalFormatting>
  <conditionalFormatting sqref="AF159:AL159">
    <cfRule type="containsText" dxfId="615" priority="327" operator="containsText" text="17">
      <formula>NOT(ISERROR(SEARCH("17",AF159)))</formula>
    </cfRule>
    <cfRule type="containsText" dxfId="614" priority="328" operator="containsText" text="T">
      <formula>NOT(ISERROR(SEARCH("T",AF159)))</formula>
    </cfRule>
  </conditionalFormatting>
  <conditionalFormatting sqref="AF41:AP41">
    <cfRule type="containsText" dxfId="613" priority="170" operator="containsText" text="17">
      <formula>NOT(ISERROR(SEARCH("17",AF41)))</formula>
    </cfRule>
    <cfRule type="containsText" dxfId="612" priority="171" operator="containsText" text="T">
      <formula>NOT(ISERROR(SEARCH("T",AF41)))</formula>
    </cfRule>
  </conditionalFormatting>
  <conditionalFormatting sqref="AF42:AZ47 AF41:AN41">
    <cfRule type="containsText" dxfId="611" priority="177" operator="containsText" text="17">
      <formula>NOT(ISERROR(SEARCH("17",AF41)))</formula>
    </cfRule>
  </conditionalFormatting>
  <conditionalFormatting sqref="AG67:AG68 AK67:AM68">
    <cfRule type="containsText" dxfId="610" priority="415" operator="containsText" text="T">
      <formula>NOT(ISERROR(SEARCH("T",AG67)))</formula>
    </cfRule>
  </conditionalFormatting>
  <conditionalFormatting sqref="AG97:AG98 AK97:CP98">
    <cfRule type="containsText" dxfId="609" priority="405" operator="containsText" text="T">
      <formula>NOT(ISERROR(SEARCH("T",AG97)))</formula>
    </cfRule>
  </conditionalFormatting>
  <conditionalFormatting sqref="AG99">
    <cfRule type="containsText" dxfId="608" priority="427" operator="containsText" text="T">
      <formula>NOT(ISERROR(SEARCH("T",AG99)))</formula>
    </cfRule>
  </conditionalFormatting>
  <conditionalFormatting sqref="AG114:AG119">
    <cfRule type="containsText" dxfId="607" priority="487" operator="containsText" text="T">
      <formula>NOT(ISERROR(SEARCH("T",AG114)))</formula>
    </cfRule>
  </conditionalFormatting>
  <conditionalFormatting sqref="AG127:AG130 AK127:AM130">
    <cfRule type="containsText" dxfId="606" priority="385" operator="containsText" text="T">
      <formula>NOT(ISERROR(SEARCH("T",AG127)))</formula>
    </cfRule>
  </conditionalFormatting>
  <conditionalFormatting sqref="AG159">
    <cfRule type="containsText" dxfId="605" priority="323" operator="containsText" text="17">
      <formula>NOT(ISERROR(SEARCH("17",AG159)))</formula>
    </cfRule>
    <cfRule type="containsText" dxfId="604" priority="324" operator="containsText" text="T">
      <formula>NOT(ISERROR(SEARCH("T",AG159)))</formula>
    </cfRule>
  </conditionalFormatting>
  <conditionalFormatting sqref="AG67:AH68 AK67:AM68">
    <cfRule type="containsText" dxfId="603" priority="416" operator="containsText" text="17">
      <formula>NOT(ISERROR(SEARCH("17",AG67)))</formula>
    </cfRule>
  </conditionalFormatting>
  <conditionalFormatting sqref="AG97:AH98 AK97:CP98">
    <cfRule type="containsText" dxfId="602" priority="406" operator="containsText" text="17">
      <formula>NOT(ISERROR(SEARCH("17",AG97)))</formula>
    </cfRule>
  </conditionalFormatting>
  <conditionalFormatting sqref="AG127:AH130 AK127:AM130">
    <cfRule type="containsText" dxfId="601" priority="386" operator="containsText" text="17">
      <formula>NOT(ISERROR(SEARCH("17",AG127)))</formula>
    </cfRule>
  </conditionalFormatting>
  <conditionalFormatting sqref="AG207:AM207">
    <cfRule type="containsText" dxfId="600" priority="314" operator="containsText" text="17">
      <formula>NOT(ISERROR(SEARCH("17",AG207)))</formula>
    </cfRule>
    <cfRule type="containsText" dxfId="599" priority="315" operator="containsText" text="T">
      <formula>NOT(ISERROR(SEARCH("T",AG207)))</formula>
    </cfRule>
  </conditionalFormatting>
  <conditionalFormatting sqref="AG28:AO32">
    <cfRule type="containsText" dxfId="598" priority="167" operator="containsText" text="17">
      <formula>NOT(ISERROR(SEARCH("17",AG28)))</formula>
    </cfRule>
  </conditionalFormatting>
  <conditionalFormatting sqref="AG28:AQ32">
    <cfRule type="containsText" dxfId="597" priority="160" operator="containsText" text="17">
      <formula>NOT(ISERROR(SEARCH("17",AG28)))</formula>
    </cfRule>
    <cfRule type="containsText" dxfId="596" priority="161" operator="containsText" text="T">
      <formula>NOT(ISERROR(SEARCH("T",AG28)))</formula>
    </cfRule>
  </conditionalFormatting>
  <conditionalFormatting sqref="AG48:AQ49">
    <cfRule type="containsText" dxfId="595" priority="150" operator="containsText" text="17">
      <formula>NOT(ISERROR(SEARCH("17",AG48)))</formula>
    </cfRule>
  </conditionalFormatting>
  <conditionalFormatting sqref="AH67:AH68">
    <cfRule type="containsText" dxfId="594" priority="417" operator="containsText" text="T">
      <formula>NOT(ISERROR(SEARCH("T",AH67)))</formula>
    </cfRule>
  </conditionalFormatting>
  <conditionalFormatting sqref="AH77:AH82">
    <cfRule type="containsText" dxfId="593" priority="474" operator="containsText" text="T">
      <formula>NOT(ISERROR(SEARCH("T",AH77)))</formula>
    </cfRule>
  </conditionalFormatting>
  <conditionalFormatting sqref="AH97:AH98">
    <cfRule type="containsText" dxfId="592" priority="407" operator="containsText" text="T">
      <formula>NOT(ISERROR(SEARCH("T",AH97)))</formula>
    </cfRule>
  </conditionalFormatting>
  <conditionalFormatting sqref="AH127:AH130">
    <cfRule type="containsText" dxfId="591" priority="387" operator="containsText" text="T">
      <formula>NOT(ISERROR(SEARCH("T",AH127)))</formula>
    </cfRule>
  </conditionalFormatting>
  <conditionalFormatting sqref="AH131 AL131:AN131 Q132:AK137 AN132:AN137">
    <cfRule type="containsText" dxfId="590" priority="372" operator="containsText" text="T">
      <formula>NOT(ISERROR(SEARCH("T",Q131)))</formula>
    </cfRule>
  </conditionalFormatting>
  <conditionalFormatting sqref="AH207">
    <cfRule type="containsText" dxfId="589" priority="310" operator="containsText" text="17">
      <formula>NOT(ISERROR(SEARCH("17",AH207)))</formula>
    </cfRule>
    <cfRule type="containsText" dxfId="588" priority="311" operator="containsText" text="T">
      <formula>NOT(ISERROR(SEARCH("T",AH207)))</formula>
    </cfRule>
  </conditionalFormatting>
  <conditionalFormatting sqref="AH131:AI131 AL131:AN131 AN132:AN137">
    <cfRule type="containsText" dxfId="587" priority="373" operator="containsText" text="17">
      <formula>NOT(ISERROR(SEARCH("17",AH131)))</formula>
    </cfRule>
  </conditionalFormatting>
  <conditionalFormatting sqref="AH200:AN200">
    <cfRule type="containsText" dxfId="586" priority="301" operator="containsText" text="17">
      <formula>NOT(ISERROR(SEARCH("17",AH200)))</formula>
    </cfRule>
    <cfRule type="containsText" dxfId="585" priority="302" operator="containsText" text="T">
      <formula>NOT(ISERROR(SEARCH("T",AH200)))</formula>
    </cfRule>
  </conditionalFormatting>
  <conditionalFormatting sqref="AH50:AP53">
    <cfRule type="containsText" dxfId="584" priority="147" operator="containsText" text="17">
      <formula>NOT(ISERROR(SEARCH("17",AH50)))</formula>
    </cfRule>
  </conditionalFormatting>
  <conditionalFormatting sqref="AH50:AR53">
    <cfRule type="containsText" dxfId="583" priority="140" operator="containsText" text="17">
      <formula>NOT(ISERROR(SEARCH("17",AH50)))</formula>
    </cfRule>
  </conditionalFormatting>
  <conditionalFormatting sqref="AH63:AR66">
    <cfRule type="containsText" dxfId="582" priority="130" operator="containsText" text="17">
      <formula>NOT(ISERROR(SEARCH("17",AH63)))</formula>
    </cfRule>
  </conditionalFormatting>
  <conditionalFormatting sqref="AI107:AI112">
    <cfRule type="containsText" dxfId="581" priority="461" operator="containsText" text="T">
      <formula>NOT(ISERROR(SEARCH("T",AI107)))</formula>
    </cfRule>
  </conditionalFormatting>
  <conditionalFormatting sqref="AI131">
    <cfRule type="containsText" dxfId="580" priority="374" operator="containsText" text="T">
      <formula>NOT(ISERROR(SEARCH("T",AI131)))</formula>
    </cfRule>
  </conditionalFormatting>
  <conditionalFormatting sqref="AI138 AM138:AO138 R139:AL144 AO139:AO144">
    <cfRule type="containsText" dxfId="579" priority="359" operator="containsText" text="T">
      <formula>NOT(ISERROR(SEARCH("T",R138)))</formula>
    </cfRule>
  </conditionalFormatting>
  <conditionalFormatting sqref="AI200">
    <cfRule type="containsText" dxfId="578" priority="297" operator="containsText" text="17">
      <formula>NOT(ISERROR(SEARCH("17",AI200)))</formula>
    </cfRule>
    <cfRule type="containsText" dxfId="577" priority="298" operator="containsText" text="T">
      <formula>NOT(ISERROR(SEARCH("T",AI200)))</formula>
    </cfRule>
  </conditionalFormatting>
  <conditionalFormatting sqref="AI138:AJ138 AM138:AO138 AO139:AO144">
    <cfRule type="containsText" dxfId="576" priority="360" operator="containsText" text="17">
      <formula>NOT(ISERROR(SEARCH("17",AI138)))</formula>
    </cfRule>
  </conditionalFormatting>
  <conditionalFormatting sqref="AI192:AO192">
    <cfRule type="containsText" dxfId="575" priority="278" operator="containsText" text="T">
      <formula>NOT(ISERROR(SEARCH("T",AI192)))</formula>
    </cfRule>
  </conditionalFormatting>
  <conditionalFormatting sqref="AI193:AO193">
    <cfRule type="containsText" dxfId="574" priority="288" operator="containsText" text="17">
      <formula>NOT(ISERROR(SEARCH("17",AI193)))</formula>
    </cfRule>
    <cfRule type="containsText" dxfId="573" priority="289" operator="containsText" text="T">
      <formula>NOT(ISERROR(SEARCH("T",AI193)))</formula>
    </cfRule>
  </conditionalFormatting>
  <conditionalFormatting sqref="AI192:AP192 AS192:AU192">
    <cfRule type="containsText" dxfId="572" priority="276" operator="containsText" text="17">
      <formula>NOT(ISERROR(SEARCH("17",AI192)))</formula>
    </cfRule>
  </conditionalFormatting>
  <conditionalFormatting sqref="AI59:AS62">
    <cfRule type="containsText" dxfId="571" priority="116" operator="containsText" text="17">
      <formula>NOT(ISERROR(SEARCH("17",AI59)))</formula>
    </cfRule>
  </conditionalFormatting>
  <conditionalFormatting sqref="AI86:AS89">
    <cfRule type="containsText" dxfId="570" priority="106" operator="containsText" text="17">
      <formula>NOT(ISERROR(SEARCH("17",AI86)))</formula>
    </cfRule>
  </conditionalFormatting>
  <conditionalFormatting sqref="AJ138">
    <cfRule type="containsText" dxfId="569" priority="361" operator="containsText" text="T">
      <formula>NOT(ISERROR(SEARCH("T",AJ138)))</formula>
    </cfRule>
  </conditionalFormatting>
  <conditionalFormatting sqref="AJ145 AN145:AP145 S146:AM151 AP146:AP151">
    <cfRule type="containsText" dxfId="568" priority="346" operator="containsText" text="T">
      <formula>NOT(ISERROR(SEARCH("T",S145)))</formula>
    </cfRule>
  </conditionalFormatting>
  <conditionalFormatting sqref="AJ192:AJ193">
    <cfRule type="containsText" dxfId="567" priority="284" operator="containsText" text="17">
      <formula>NOT(ISERROR(SEARCH("17",AJ192)))</formula>
    </cfRule>
    <cfRule type="containsText" dxfId="566" priority="285" operator="containsText" text="T">
      <formula>NOT(ISERROR(SEARCH("T",AJ192)))</formula>
    </cfRule>
  </conditionalFormatting>
  <conditionalFormatting sqref="AJ145:AK145 AN145:AP145 AP146:AP151">
    <cfRule type="containsText" dxfId="565" priority="347" operator="containsText" text="17">
      <formula>NOT(ISERROR(SEARCH("17",AJ145)))</formula>
    </cfRule>
  </conditionalFormatting>
  <conditionalFormatting sqref="AJ168:AP168">
    <cfRule type="containsText" dxfId="564" priority="270" operator="containsText" text="17">
      <formula>NOT(ISERROR(SEARCH("17",AJ168)))</formula>
    </cfRule>
    <cfRule type="containsText" dxfId="563" priority="271" operator="containsText" text="T">
      <formula>NOT(ISERROR(SEARCH("T",AJ168)))</formula>
    </cfRule>
  </conditionalFormatting>
  <conditionalFormatting sqref="AJ83:AT85">
    <cfRule type="containsText" dxfId="562" priority="96" operator="containsText" text="17">
      <formula>NOT(ISERROR(SEARCH("17",AJ83)))</formula>
    </cfRule>
  </conditionalFormatting>
  <conditionalFormatting sqref="AJ214:AT217">
    <cfRule type="containsText" dxfId="561" priority="86" operator="containsText" text="17">
      <formula>NOT(ISERROR(SEARCH("17",AJ214)))</formula>
    </cfRule>
  </conditionalFormatting>
  <conditionalFormatting sqref="AK70:AK75">
    <cfRule type="containsText" dxfId="560" priority="448" operator="containsText" text="T">
      <formula>NOT(ISERROR(SEARCH("T",AK70)))</formula>
    </cfRule>
  </conditionalFormatting>
  <conditionalFormatting sqref="AK129:AK130 P127:X130">
    <cfRule type="containsText" dxfId="559" priority="390" operator="containsText" text="17">
      <formula>NOT(ISERROR(SEARCH("17",P127)))</formula>
    </cfRule>
  </conditionalFormatting>
  <conditionalFormatting sqref="AK145">
    <cfRule type="containsText" dxfId="558" priority="348" operator="containsText" text="T">
      <formula>NOT(ISERROR(SEARCH("T",AK145)))</formula>
    </cfRule>
  </conditionalFormatting>
  <conditionalFormatting sqref="AK152 AO152:AQ152 T153:AN158 AQ153:AQ158">
    <cfRule type="containsText" dxfId="557" priority="333" operator="containsText" text="T">
      <formula>NOT(ISERROR(SEARCH("T",T152)))</formula>
    </cfRule>
  </conditionalFormatting>
  <conditionalFormatting sqref="AK168">
    <cfRule type="containsText" dxfId="556" priority="266" operator="containsText" text="17">
      <formula>NOT(ISERROR(SEARCH("17",AK168)))</formula>
    </cfRule>
    <cfRule type="containsText" dxfId="555" priority="267" operator="containsText" text="T">
      <formula>NOT(ISERROR(SEARCH("T",AK168)))</formula>
    </cfRule>
  </conditionalFormatting>
  <conditionalFormatting sqref="AK152:AL152 AO152:AQ152 AQ153:AQ158">
    <cfRule type="containsText" dxfId="554" priority="334" operator="containsText" text="17">
      <formula>NOT(ISERROR(SEARCH("17",AK152)))</formula>
    </cfRule>
  </conditionalFormatting>
  <conditionalFormatting sqref="AK175:AQ175">
    <cfRule type="containsText" dxfId="553" priority="257" operator="containsText" text="17">
      <formula>NOT(ISERROR(SEARCH("17",AK175)))</formula>
    </cfRule>
    <cfRule type="containsText" dxfId="552" priority="258" operator="containsText" text="T">
      <formula>NOT(ISERROR(SEARCH("T",AK175)))</formula>
    </cfRule>
  </conditionalFormatting>
  <conditionalFormatting sqref="AL100:AL105">
    <cfRule type="containsText" dxfId="551" priority="435" operator="containsText" text="T">
      <formula>NOT(ISERROR(SEARCH("T",AL100)))</formula>
    </cfRule>
  </conditionalFormatting>
  <conditionalFormatting sqref="AL152">
    <cfRule type="containsText" dxfId="550" priority="335" operator="containsText" text="T">
      <formula>NOT(ISERROR(SEARCH("T",AL152)))</formula>
    </cfRule>
  </conditionalFormatting>
  <conditionalFormatting sqref="AL159 AP159:AR159 U160:AO165 AR160:AR165">
    <cfRule type="containsText" dxfId="549" priority="320" operator="containsText" text="T">
      <formula>NOT(ISERROR(SEARCH("T",U159)))</formula>
    </cfRule>
  </conditionalFormatting>
  <conditionalFormatting sqref="AL175">
    <cfRule type="containsText" dxfId="548" priority="253" operator="containsText" text="17">
      <formula>NOT(ISERROR(SEARCH("17",AL175)))</formula>
    </cfRule>
    <cfRule type="containsText" dxfId="547" priority="254" operator="containsText" text="T">
      <formula>NOT(ISERROR(SEARCH("T",AL175)))</formula>
    </cfRule>
  </conditionalFormatting>
  <conditionalFormatting sqref="AL159:AM159 AP159:AR159 AR160:AR165">
    <cfRule type="containsText" dxfId="546" priority="321" operator="containsText" text="17">
      <formula>NOT(ISERROR(SEARCH("17",AL159)))</formula>
    </cfRule>
  </conditionalFormatting>
  <conditionalFormatting sqref="AL182:AR182">
    <cfRule type="containsText" dxfId="545" priority="244" operator="containsText" text="17">
      <formula>NOT(ISERROR(SEARCH("17",AL182)))</formula>
    </cfRule>
    <cfRule type="containsText" dxfId="544" priority="245" operator="containsText" text="T">
      <formula>NOT(ISERROR(SEARCH("T",AL182)))</formula>
    </cfRule>
  </conditionalFormatting>
  <conditionalFormatting sqref="AM159">
    <cfRule type="containsText" dxfId="543" priority="322" operator="containsText" text="T">
      <formula>NOT(ISERROR(SEARCH("T",AM159)))</formula>
    </cfRule>
  </conditionalFormatting>
  <conditionalFormatting sqref="AM182">
    <cfRule type="containsText" dxfId="542" priority="240" operator="containsText" text="17">
      <formula>NOT(ISERROR(SEARCH("17",AM182)))</formula>
    </cfRule>
    <cfRule type="containsText" dxfId="541" priority="241" operator="containsText" text="T">
      <formula>NOT(ISERROR(SEARCH("T",AM182)))</formula>
    </cfRule>
  </conditionalFormatting>
  <conditionalFormatting sqref="AM207 AQ207:AS207 V208:AP213 AS208:AS213">
    <cfRule type="containsText" dxfId="540" priority="307" operator="containsText" text="T">
      <formula>NOT(ISERROR(SEARCH("T",V207)))</formula>
    </cfRule>
  </conditionalFormatting>
  <conditionalFormatting sqref="AM207:AN207 AQ207:AS207 AS208:AS213">
    <cfRule type="containsText" dxfId="539" priority="308" operator="containsText" text="17">
      <formula>NOT(ISERROR(SEARCH("17",AM207)))</formula>
    </cfRule>
  </conditionalFormatting>
  <conditionalFormatting sqref="AM90:AS90">
    <cfRule type="containsText" dxfId="538" priority="231" operator="containsText" text="17">
      <formula>NOT(ISERROR(SEARCH("17",AM90)))</formula>
    </cfRule>
    <cfRule type="containsText" dxfId="537" priority="232" operator="containsText" text="T">
      <formula>NOT(ISERROR(SEARCH("T",AM90)))</formula>
    </cfRule>
  </conditionalFormatting>
  <conditionalFormatting sqref="AN90">
    <cfRule type="containsText" dxfId="536" priority="227" operator="containsText" text="17">
      <formula>NOT(ISERROR(SEARCH("17",AN90)))</formula>
    </cfRule>
    <cfRule type="containsText" dxfId="535" priority="228" operator="containsText" text="T">
      <formula>NOT(ISERROR(SEARCH("T",AN90)))</formula>
    </cfRule>
  </conditionalFormatting>
  <conditionalFormatting sqref="AN132:AN137">
    <cfRule type="containsText" dxfId="534" priority="382" operator="containsText" text="T">
      <formula>NOT(ISERROR(SEARCH("T",AN132)))</formula>
    </cfRule>
  </conditionalFormatting>
  <conditionalFormatting sqref="AN200 AR200:AT200 W201:AQ206 AT201:AT206">
    <cfRule type="containsText" dxfId="533" priority="294" operator="containsText" text="T">
      <formula>NOT(ISERROR(SEARCH("T",W200)))</formula>
    </cfRule>
  </conditionalFormatting>
  <conditionalFormatting sqref="AN207">
    <cfRule type="containsText" dxfId="532" priority="309" operator="containsText" text="T">
      <formula>NOT(ISERROR(SEARCH("T",AN207)))</formula>
    </cfRule>
  </conditionalFormatting>
  <conditionalFormatting sqref="AN200:AO200 AR200:AT200 AT201:AT206">
    <cfRule type="containsText" dxfId="531" priority="295" operator="containsText" text="17">
      <formula>NOT(ISERROR(SEARCH("17",AN200)))</formula>
    </cfRule>
  </conditionalFormatting>
  <conditionalFormatting sqref="AN14:AT14">
    <cfRule type="containsText" dxfId="530" priority="218" operator="containsText" text="17">
      <formula>NOT(ISERROR(SEARCH("17",AN14)))</formula>
    </cfRule>
    <cfRule type="containsText" dxfId="529" priority="219" operator="containsText" text="T">
      <formula>NOT(ISERROR(SEARCH("T",AN14)))</formula>
    </cfRule>
  </conditionalFormatting>
  <conditionalFormatting sqref="AO14">
    <cfRule type="containsText" dxfId="528" priority="214" operator="containsText" text="17">
      <formula>NOT(ISERROR(SEARCH("17",AO14)))</formula>
    </cfRule>
    <cfRule type="containsText" dxfId="527" priority="215" operator="containsText" text="T">
      <formula>NOT(ISERROR(SEARCH("T",AO14)))</formula>
    </cfRule>
  </conditionalFormatting>
  <conditionalFormatting sqref="AO139:AO144">
    <cfRule type="containsText" dxfId="526" priority="369" operator="containsText" text="T">
      <formula>NOT(ISERROR(SEARCH("T",AO139)))</formula>
    </cfRule>
  </conditionalFormatting>
  <conditionalFormatting sqref="AO192:AO193 AS192:AU193 X194:AR199 AU194:AU199">
    <cfRule type="containsText" dxfId="525" priority="281" operator="containsText" text="T">
      <formula>NOT(ISERROR(SEARCH("T",X192)))</formula>
    </cfRule>
  </conditionalFormatting>
  <conditionalFormatting sqref="AO200">
    <cfRule type="containsText" dxfId="524" priority="296" operator="containsText" text="T">
      <formula>NOT(ISERROR(SEARCH("T",AO200)))</formula>
    </cfRule>
  </conditionalFormatting>
  <conditionalFormatting sqref="AO193:AP193 AS193:AU193 AU194:AU199">
    <cfRule type="containsText" dxfId="523" priority="282" operator="containsText" text="17">
      <formula>NOT(ISERROR(SEARCH("17",AO193)))</formula>
    </cfRule>
  </conditionalFormatting>
  <conditionalFormatting sqref="AO34:AU34">
    <cfRule type="containsText" dxfId="522" priority="205" operator="containsText" text="17">
      <formula>NOT(ISERROR(SEARCH("17",AO34)))</formula>
    </cfRule>
    <cfRule type="containsText" dxfId="521" priority="206" operator="containsText" text="T">
      <formula>NOT(ISERROR(SEARCH("T",AO34)))</formula>
    </cfRule>
  </conditionalFormatting>
  <conditionalFormatting sqref="AP34">
    <cfRule type="containsText" dxfId="520" priority="201" operator="containsText" text="17">
      <formula>NOT(ISERROR(SEARCH("17",AP34)))</formula>
    </cfRule>
    <cfRule type="containsText" dxfId="519" priority="202" operator="containsText" text="T">
      <formula>NOT(ISERROR(SEARCH("T",AP34)))</formula>
    </cfRule>
  </conditionalFormatting>
  <conditionalFormatting sqref="AP146:AP151">
    <cfRule type="containsText" dxfId="518" priority="356" operator="containsText" text="T">
      <formula>NOT(ISERROR(SEARCH("T",AP146)))</formula>
    </cfRule>
  </conditionalFormatting>
  <conditionalFormatting sqref="AP168 AT168:AV168 Y169:AS174 AV169:AV174">
    <cfRule type="containsText" dxfId="517" priority="263" operator="containsText" text="T">
      <formula>NOT(ISERROR(SEARCH("T",Y168)))</formula>
    </cfRule>
  </conditionalFormatting>
  <conditionalFormatting sqref="AP192:AP193">
    <cfRule type="containsText" dxfId="516" priority="283" operator="containsText" text="T">
      <formula>NOT(ISERROR(SEARCH("T",AP192)))</formula>
    </cfRule>
  </conditionalFormatting>
  <conditionalFormatting sqref="AP168:AQ168 AT168:AV168 AV169:AV174">
    <cfRule type="containsText" dxfId="515" priority="264" operator="containsText" text="17">
      <formula>NOT(ISERROR(SEARCH("17",AP168)))</formula>
    </cfRule>
  </conditionalFormatting>
  <conditionalFormatting sqref="AP21:AV21">
    <cfRule type="containsText" dxfId="514" priority="192" operator="containsText" text="17">
      <formula>NOT(ISERROR(SEARCH("17",AP21)))</formula>
    </cfRule>
    <cfRule type="containsText" dxfId="513" priority="193" operator="containsText" text="T">
      <formula>NOT(ISERROR(SEARCH("T",AP21)))</formula>
    </cfRule>
  </conditionalFormatting>
  <conditionalFormatting sqref="AQ21">
    <cfRule type="containsText" dxfId="512" priority="188" operator="containsText" text="17">
      <formula>NOT(ISERROR(SEARCH("17",AQ21)))</formula>
    </cfRule>
    <cfRule type="containsText" dxfId="511" priority="189" operator="containsText" text="T">
      <formula>NOT(ISERROR(SEARCH("T",AQ21)))</formula>
    </cfRule>
  </conditionalFormatting>
  <conditionalFormatting sqref="AQ153:AQ158">
    <cfRule type="containsText" dxfId="510" priority="343" operator="containsText" text="T">
      <formula>NOT(ISERROR(SEARCH("T",AQ153)))</formula>
    </cfRule>
  </conditionalFormatting>
  <conditionalFormatting sqref="AQ168">
    <cfRule type="containsText" dxfId="509" priority="265" operator="containsText" text="T">
      <formula>NOT(ISERROR(SEARCH("T",AQ168)))</formula>
    </cfRule>
  </conditionalFormatting>
  <conditionalFormatting sqref="AQ175 AU175:AW175 Z176:AT181 AW176:AW181">
    <cfRule type="containsText" dxfId="508" priority="250" operator="containsText" text="T">
      <formula>NOT(ISERROR(SEARCH("T",Z175)))</formula>
    </cfRule>
  </conditionalFormatting>
  <conditionalFormatting sqref="AQ175:AR175 AU175:AW175 AW176:AW181">
    <cfRule type="containsText" dxfId="507" priority="251" operator="containsText" text="17">
      <formula>NOT(ISERROR(SEARCH("17",AQ175)))</formula>
    </cfRule>
  </conditionalFormatting>
  <conditionalFormatting sqref="AQ41:AW41">
    <cfRule type="containsText" dxfId="506" priority="179" operator="containsText" text="17">
      <formula>NOT(ISERROR(SEARCH("17",AQ41)))</formula>
    </cfRule>
    <cfRule type="containsText" dxfId="505" priority="180" operator="containsText" text="T">
      <formula>NOT(ISERROR(SEARCH("T",AQ41)))</formula>
    </cfRule>
  </conditionalFormatting>
  <conditionalFormatting sqref="AR41">
    <cfRule type="containsText" dxfId="504" priority="175" operator="containsText" text="17">
      <formula>NOT(ISERROR(SEARCH("17",AR41)))</formula>
    </cfRule>
    <cfRule type="containsText" dxfId="503" priority="176" operator="containsText" text="T">
      <formula>NOT(ISERROR(SEARCH("T",AR41)))</formula>
    </cfRule>
  </conditionalFormatting>
  <conditionalFormatting sqref="AR160:AR165">
    <cfRule type="containsText" dxfId="502" priority="330" operator="containsText" text="T">
      <formula>NOT(ISERROR(SEARCH("T",AR160)))</formula>
    </cfRule>
  </conditionalFormatting>
  <conditionalFormatting sqref="AR175">
    <cfRule type="containsText" dxfId="501" priority="252" operator="containsText" text="T">
      <formula>NOT(ISERROR(SEARCH("T",AR175)))</formula>
    </cfRule>
  </conditionalFormatting>
  <conditionalFormatting sqref="AR182 AV182:AX182 AA183:AU190 AX183:AX190">
    <cfRule type="containsText" dxfId="500" priority="237" operator="containsText" text="T">
      <formula>NOT(ISERROR(SEARCH("T",AA182)))</formula>
    </cfRule>
  </conditionalFormatting>
  <conditionalFormatting sqref="AR182:AS182 AV182:AX182 AX183:AX190">
    <cfRule type="containsText" dxfId="499" priority="238" operator="containsText" text="17">
      <formula>NOT(ISERROR(SEARCH("17",AR182)))</formula>
    </cfRule>
  </conditionalFormatting>
  <conditionalFormatting sqref="AR28:AX32">
    <cfRule type="containsText" dxfId="498" priority="168" operator="containsText" text="17">
      <formula>NOT(ISERROR(SEARCH("17",AR28)))</formula>
    </cfRule>
    <cfRule type="containsText" dxfId="497" priority="169" operator="containsText" text="T">
      <formula>NOT(ISERROR(SEARCH("T",AR28)))</formula>
    </cfRule>
  </conditionalFormatting>
  <conditionalFormatting sqref="AR48:AX49">
    <cfRule type="containsText" dxfId="496" priority="158" operator="containsText" text="17">
      <formula>NOT(ISERROR(SEARCH("17",AR48)))</formula>
    </cfRule>
    <cfRule type="containsText" dxfId="495" priority="159" operator="containsText" text="T">
      <formula>NOT(ISERROR(SEARCH("T",AR48)))</formula>
    </cfRule>
  </conditionalFormatting>
  <conditionalFormatting sqref="AS28:AS32">
    <cfRule type="containsText" dxfId="494" priority="165" operator="containsText" text="17">
      <formula>NOT(ISERROR(SEARCH("17",AS28)))</formula>
    </cfRule>
    <cfRule type="containsText" dxfId="493" priority="166" operator="containsText" text="T">
      <formula>NOT(ISERROR(SEARCH("T",AS28)))</formula>
    </cfRule>
  </conditionalFormatting>
  <conditionalFormatting sqref="AS48:AS49">
    <cfRule type="containsText" dxfId="492" priority="155" operator="containsText" text="17">
      <formula>NOT(ISERROR(SEARCH("17",AS48)))</formula>
    </cfRule>
    <cfRule type="containsText" dxfId="491" priority="156" operator="containsText" text="T">
      <formula>NOT(ISERROR(SEARCH("T",AS48)))</formula>
    </cfRule>
  </conditionalFormatting>
  <conditionalFormatting sqref="AS90 AW90:AY90 AB91:AV96 AY91:AY96">
    <cfRule type="containsText" dxfId="490" priority="224" operator="containsText" text="T">
      <formula>NOT(ISERROR(SEARCH("T",AB90)))</formula>
    </cfRule>
  </conditionalFormatting>
  <conditionalFormatting sqref="AS182">
    <cfRule type="containsText" dxfId="489" priority="239" operator="containsText" text="T">
      <formula>NOT(ISERROR(SEARCH("T",AS182)))</formula>
    </cfRule>
  </conditionalFormatting>
  <conditionalFormatting sqref="AS192:AS193 X194:AR199 X192:AF193">
    <cfRule type="containsText" dxfId="488" priority="286" operator="containsText" text="17">
      <formula>NOT(ISERROR(SEARCH("17",X192)))</formula>
    </cfRule>
  </conditionalFormatting>
  <conditionalFormatting sqref="AS208:AS213">
    <cfRule type="containsText" dxfId="487" priority="317" operator="containsText" text="T">
      <formula>NOT(ISERROR(SEARCH("T",AS208)))</formula>
    </cfRule>
  </conditionalFormatting>
  <conditionalFormatting sqref="AS90:AT90 AW90:AY90 AY91:AY96">
    <cfRule type="containsText" dxfId="486" priority="225" operator="containsText" text="17">
      <formula>NOT(ISERROR(SEARCH("17",AS90)))</formula>
    </cfRule>
  </conditionalFormatting>
  <conditionalFormatting sqref="AS50:AY53">
    <cfRule type="containsText" dxfId="485" priority="148" operator="containsText" text="17">
      <formula>NOT(ISERROR(SEARCH("17",AS50)))</formula>
    </cfRule>
    <cfRule type="containsText" dxfId="484" priority="149" operator="containsText" text="T">
      <formula>NOT(ISERROR(SEARCH("T",AS50)))</formula>
    </cfRule>
  </conditionalFormatting>
  <conditionalFormatting sqref="AS63:AY66">
    <cfRule type="containsText" dxfId="483" priority="138" operator="containsText" text="17">
      <formula>NOT(ISERROR(SEARCH("17",AS63)))</formula>
    </cfRule>
    <cfRule type="containsText" dxfId="482" priority="139" operator="containsText" text="T">
      <formula>NOT(ISERROR(SEARCH("T",AS63)))</formula>
    </cfRule>
  </conditionalFormatting>
  <conditionalFormatting sqref="AT14 AX14:AZ14 AC15:AW20 AZ15:AZ20">
    <cfRule type="containsText" dxfId="481" priority="211" operator="containsText" text="T">
      <formula>NOT(ISERROR(SEARCH("T",AC14)))</formula>
    </cfRule>
  </conditionalFormatting>
  <conditionalFormatting sqref="AT50:AT53">
    <cfRule type="containsText" dxfId="480" priority="145" operator="containsText" text="17">
      <formula>NOT(ISERROR(SEARCH("17",AT50)))</formula>
    </cfRule>
    <cfRule type="containsText" dxfId="479" priority="146" operator="containsText" text="T">
      <formula>NOT(ISERROR(SEARCH("T",AT50)))</formula>
    </cfRule>
  </conditionalFormatting>
  <conditionalFormatting sqref="AT63:AT66">
    <cfRule type="containsText" dxfId="478" priority="135" operator="containsText" text="17">
      <formula>NOT(ISERROR(SEARCH("17",AT63)))</formula>
    </cfRule>
    <cfRule type="containsText" dxfId="477" priority="136" operator="containsText" text="T">
      <formula>NOT(ISERROR(SEARCH("T",AT63)))</formula>
    </cfRule>
  </conditionalFormatting>
  <conditionalFormatting sqref="AT90">
    <cfRule type="containsText" dxfId="476" priority="226" operator="containsText" text="T">
      <formula>NOT(ISERROR(SEARCH("T",AT90)))</formula>
    </cfRule>
  </conditionalFormatting>
  <conditionalFormatting sqref="AT201:AT206">
    <cfRule type="containsText" dxfId="475" priority="304" operator="containsText" text="T">
      <formula>NOT(ISERROR(SEARCH("T",AT201)))</formula>
    </cfRule>
  </conditionalFormatting>
  <conditionalFormatting sqref="AT14:AU14 AX14:AZ14 AZ15:AZ20">
    <cfRule type="containsText" dxfId="474" priority="212" operator="containsText" text="17">
      <formula>NOT(ISERROR(SEARCH("17",AT14)))</formula>
    </cfRule>
  </conditionalFormatting>
  <conditionalFormatting sqref="AT59:AZ62">
    <cfRule type="containsText" dxfId="473" priority="124" operator="containsText" text="17">
      <formula>NOT(ISERROR(SEARCH("17",AT59)))</formula>
    </cfRule>
    <cfRule type="containsText" dxfId="472" priority="125" operator="containsText" text="T">
      <formula>NOT(ISERROR(SEARCH("T",AT59)))</formula>
    </cfRule>
  </conditionalFormatting>
  <conditionalFormatting sqref="AT86:AZ89">
    <cfRule type="containsText" dxfId="471" priority="114" operator="containsText" text="17">
      <formula>NOT(ISERROR(SEARCH("17",AT86)))</formula>
    </cfRule>
    <cfRule type="containsText" dxfId="470" priority="115" operator="containsText" text="T">
      <formula>NOT(ISERROR(SEARCH("T",AT86)))</formula>
    </cfRule>
  </conditionalFormatting>
  <conditionalFormatting sqref="AU14">
    <cfRule type="containsText" dxfId="469" priority="213" operator="containsText" text="T">
      <formula>NOT(ISERROR(SEARCH("T",AU14)))</formula>
    </cfRule>
  </conditionalFormatting>
  <conditionalFormatting sqref="AU34 AY34:BA34 AD35:AX40 BA35:BA40">
    <cfRule type="containsText" dxfId="468" priority="198" operator="containsText" text="T">
      <formula>NOT(ISERROR(SEARCH("T",AD34)))</formula>
    </cfRule>
  </conditionalFormatting>
  <conditionalFormatting sqref="AU59:AU62">
    <cfRule type="containsText" dxfId="467" priority="121" operator="containsText" text="17">
      <formula>NOT(ISERROR(SEARCH("17",AU59)))</formula>
    </cfRule>
    <cfRule type="containsText" dxfId="466" priority="122" operator="containsText" text="T">
      <formula>NOT(ISERROR(SEARCH("T",AU59)))</formula>
    </cfRule>
  </conditionalFormatting>
  <conditionalFormatting sqref="AU86:AU89">
    <cfRule type="containsText" dxfId="465" priority="111" operator="containsText" text="17">
      <formula>NOT(ISERROR(SEARCH("17",AU86)))</formula>
    </cfRule>
    <cfRule type="containsText" dxfId="464" priority="112" operator="containsText" text="T">
      <formula>NOT(ISERROR(SEARCH("T",AU86)))</formula>
    </cfRule>
  </conditionalFormatting>
  <conditionalFormatting sqref="AU194:AU199">
    <cfRule type="containsText" dxfId="463" priority="291" operator="containsText" text="T">
      <formula>NOT(ISERROR(SEARCH("T",AU194)))</formula>
    </cfRule>
  </conditionalFormatting>
  <conditionalFormatting sqref="AU34:AV34 AY34:BA34 BA35:BA40">
    <cfRule type="containsText" dxfId="462" priority="199" operator="containsText" text="17">
      <formula>NOT(ISERROR(SEARCH("17",AU34)))</formula>
    </cfRule>
  </conditionalFormatting>
  <conditionalFormatting sqref="AU83:BA85">
    <cfRule type="containsText" dxfId="461" priority="104" operator="containsText" text="17">
      <formula>NOT(ISERROR(SEARCH("17",AU83)))</formula>
    </cfRule>
    <cfRule type="containsText" dxfId="460" priority="105" operator="containsText" text="T">
      <formula>NOT(ISERROR(SEARCH("T",AU83)))</formula>
    </cfRule>
  </conditionalFormatting>
  <conditionalFormatting sqref="AU214:BA217">
    <cfRule type="containsText" dxfId="459" priority="94" operator="containsText" text="17">
      <formula>NOT(ISERROR(SEARCH("17",AU214)))</formula>
    </cfRule>
    <cfRule type="containsText" dxfId="458" priority="95" operator="containsText" text="T">
      <formula>NOT(ISERROR(SEARCH("T",AU214)))</formula>
    </cfRule>
  </conditionalFormatting>
  <conditionalFormatting sqref="AU200:CP206 AT207:CP213 AY182:CP190 J191:CP191 BA14:CP20 J33:CP33 BB34:CP40 AL69:CP75 AR152:CP158 AX175:CP181 J14:AB20 J21:AD27 BC21:CP27 J28:AE32 BE28:CP32 AE28:AF33 J34:AC40 J41:AE47 BD41:CP47 BE48:CP49 J50:AG53 BF50:CP53 AG53:BG53 J54:CP58 BG59:CP62 BF63:CP66 AN67:CP68 J69:M75 J76:J82 AI76:AO78 BH83:CP85 BG86:CP89 J90:AA96 AZ90:CP96 J99:N105 AM99:CP105 J106:K112 AJ106:CP106 AH117:AM119 J120:L126 J127:O130 AN127:CP130 O130:AO130 J131:P137 AO131:CP137 J138:Q144 AP138:CP144 J145:R151 AQ145:CP151 J152:S158 J159:T165 AS159:CP165 J166:CP167 J168:X174 AW168:CP174 J175:Y181 J182:Z190 J192:W199 AV192:CP199 J200:V206 J207:U213 BH214:XFD217 BI218:XFD220 J218:AJ224 BI218:CP224 J225:AK231 BJ225:CP231 J232:AL234 BK232:CP234 AH113:AL116 BK113:CP116 BL117:CP119 AI79:AM82 BL79:CP82 AK120:CP126 AJ107:AO112 BN107:CP112 BN76:CP78">
    <cfRule type="containsText" dxfId="457" priority="8110" operator="containsText" text="17">
      <formula>NOT(ISERROR(SEARCH("17",J14)))</formula>
    </cfRule>
  </conditionalFormatting>
  <conditionalFormatting sqref="AV21 AZ21:BB21 AE22:AY27">
    <cfRule type="containsText" dxfId="456" priority="185" operator="containsText" text="T">
      <formula>NOT(ISERROR(SEARCH("T",AE21)))</formula>
    </cfRule>
  </conditionalFormatting>
  <conditionalFormatting sqref="AV34">
    <cfRule type="containsText" dxfId="455" priority="200" operator="containsText" text="T">
      <formula>NOT(ISERROR(SEARCH("T",AV34)))</formula>
    </cfRule>
  </conditionalFormatting>
  <conditionalFormatting sqref="AV83:AV85">
    <cfRule type="containsText" dxfId="454" priority="101" operator="containsText" text="17">
      <formula>NOT(ISERROR(SEARCH("17",AV83)))</formula>
    </cfRule>
    <cfRule type="containsText" dxfId="453" priority="102" operator="containsText" text="T">
      <formula>NOT(ISERROR(SEARCH("T",AV83)))</formula>
    </cfRule>
  </conditionalFormatting>
  <conditionalFormatting sqref="AV169:AV174">
    <cfRule type="containsText" dxfId="452" priority="273" operator="containsText" text="T">
      <formula>NOT(ISERROR(SEARCH("T",AV169)))</formula>
    </cfRule>
  </conditionalFormatting>
  <conditionalFormatting sqref="AV214:AV217">
    <cfRule type="containsText" dxfId="451" priority="91" operator="containsText" text="17">
      <formula>NOT(ISERROR(SEARCH("17",AV214)))</formula>
    </cfRule>
    <cfRule type="containsText" dxfId="450" priority="92" operator="containsText" text="T">
      <formula>NOT(ISERROR(SEARCH("T",AV214)))</formula>
    </cfRule>
  </conditionalFormatting>
  <conditionalFormatting sqref="AV21:AW21 AZ21:BB21 BB22:BY27">
    <cfRule type="containsText" dxfId="449" priority="186" operator="containsText" text="17">
      <formula>NOT(ISERROR(SEARCH("17",AV21)))</formula>
    </cfRule>
  </conditionalFormatting>
  <conditionalFormatting sqref="AV192:CP199 BH214:XFD217 BI218:XFD220 AU200:CP206 AT207:CP213 AN127:CP130 AY182:CP190 AJ106:CP106 AH117:AM119 J120:L126 AM99:CP105 BG86:CP89 AZ90:CP96 AI76:AO78 AL69:CP75 AQ145:CP151 AP138:CP144 AO131:CP137 AR152:CP158 AS159:CP165 BC21:CP27 BE28:CP32 J33:CP33 BB34:CP40 BD41:CP47 BE48:CP49 BF50:CP53 AG53:BG53 J54:CP58 BG59:CP62 BF63:CP66 AN67:CP68 BH83:CP85 AW168:CP174 AX175:CP181 O130:AO130 J14:AB20 BA14:CP20 J21:AD27 J28:AE32 AE28:AF33 J34:AC40 J41:AE47 J69:M75 J76:J82 J90:AA96 J99:N105 J106:K112 J131:P137 J138:Q144 J145:R151 J152:S158 J159:T165 J166:CP167 J168:X174 J175:Y181 J182:Z190 J191:CP191 J192:W199 J200:V206 J207:U213 J218:AJ224 BI218:CP224 J225:AK231 BJ225:CP231 J232:AL234 BK232:CP234 AH113:AL116 BK113:CP116 BL117:CP119 AI79:AM82 BL79:CP82 AK120:CP126 AJ107:AO112 BN107:CP112 BN76:CP78">
    <cfRule type="containsText" dxfId="448" priority="6880" operator="containsText" text="T">
      <formula>NOT(ISERROR(SEARCH("T",J14)))</formula>
    </cfRule>
  </conditionalFormatting>
  <conditionalFormatting sqref="AW21">
    <cfRule type="containsText" dxfId="447" priority="187" operator="containsText" text="T">
      <formula>NOT(ISERROR(SEARCH("T",AW21)))</formula>
    </cfRule>
  </conditionalFormatting>
  <conditionalFormatting sqref="AW41 BA41:BC41 AF42:AZ47 BC42:BC47">
    <cfRule type="containsText" dxfId="446" priority="172" operator="containsText" text="T">
      <formula>NOT(ISERROR(SEARCH("T",AF41)))</formula>
    </cfRule>
  </conditionalFormatting>
  <conditionalFormatting sqref="AW176:AW181">
    <cfRule type="containsText" dxfId="445" priority="260" operator="containsText" text="T">
      <formula>NOT(ISERROR(SEARCH("T",AW176)))</formula>
    </cfRule>
  </conditionalFormatting>
  <conditionalFormatting sqref="AW41:AX41 BA41:BC41 BC42:BC47">
    <cfRule type="containsText" dxfId="444" priority="173" operator="containsText" text="17">
      <formula>NOT(ISERROR(SEARCH("17",AW41)))</formula>
    </cfRule>
  </conditionalFormatting>
  <conditionalFormatting sqref="AX28:AX32 BB28:BD32">
    <cfRule type="containsText" dxfId="443" priority="162" operator="containsText" text="T">
      <formula>NOT(ISERROR(SEARCH("T",AX28)))</formula>
    </cfRule>
  </conditionalFormatting>
  <conditionalFormatting sqref="AX41">
    <cfRule type="containsText" dxfId="442" priority="174" operator="containsText" text="T">
      <formula>NOT(ISERROR(SEARCH("T",AX41)))</formula>
    </cfRule>
  </conditionalFormatting>
  <conditionalFormatting sqref="AX48:AX49 BB48:BD49">
    <cfRule type="containsText" dxfId="441" priority="152" operator="containsText" text="T">
      <formula>NOT(ISERROR(SEARCH("T",AX48)))</formula>
    </cfRule>
  </conditionalFormatting>
  <conditionalFormatting sqref="AX145:AX148">
    <cfRule type="containsText" dxfId="438" priority="1246" operator="containsText" text="17">
      <formula>NOT(ISERROR(SEARCH("17",AX145)))</formula>
    </cfRule>
    <cfRule type="containsText" dxfId="437" priority="1247" operator="containsText" text="T">
      <formula>NOT(ISERROR(SEARCH("T",AX145)))</formula>
    </cfRule>
  </conditionalFormatting>
  <conditionalFormatting sqref="AX170">
    <cfRule type="containsText" dxfId="436" priority="8305" operator="containsText" text="17">
      <formula>NOT(ISERROR(SEARCH("17",AX170)))</formula>
    </cfRule>
    <cfRule type="containsText" dxfId="435" priority="8306" operator="containsText" text="T">
      <formula>NOT(ISERROR(SEARCH("T",AX170)))</formula>
    </cfRule>
  </conditionalFormatting>
  <conditionalFormatting sqref="AX183:AX190">
    <cfRule type="containsText" dxfId="434" priority="247" operator="containsText" text="T">
      <formula>NOT(ISERROR(SEARCH("T",AX183)))</formula>
    </cfRule>
  </conditionalFormatting>
  <conditionalFormatting sqref="AX192">
    <cfRule type="containsText" dxfId="433" priority="1946" operator="containsText" text="17">
      <formula>NOT(ISERROR(SEARCH("17",AX192)))</formula>
    </cfRule>
    <cfRule type="containsText" dxfId="432" priority="1947" operator="containsText" text="T">
      <formula>NOT(ISERROR(SEARCH("T",AX192)))</formula>
    </cfRule>
    <cfRule type="containsText" dxfId="431" priority="5843" operator="containsText" text="17">
      <formula>NOT(ISERROR(SEARCH("17",AX192)))</formula>
    </cfRule>
    <cfRule type="containsText" dxfId="430" priority="5844" operator="containsText" text="T">
      <formula>NOT(ISERROR(SEARCH("T",AX192)))</formula>
    </cfRule>
  </conditionalFormatting>
  <conditionalFormatting sqref="AX196:AX198">
    <cfRule type="containsText" dxfId="429" priority="6871" operator="containsText" text="17">
      <formula>NOT(ISERROR(SEARCH("17",AX196)))</formula>
    </cfRule>
    <cfRule type="containsText" dxfId="428" priority="6872" operator="containsText" text="T">
      <formula>NOT(ISERROR(SEARCH("T",AX196)))</formula>
    </cfRule>
  </conditionalFormatting>
  <conditionalFormatting sqref="AX28:AY32 BB28:BD32">
    <cfRule type="containsText" dxfId="427" priority="163" operator="containsText" text="17">
      <formula>NOT(ISERROR(SEARCH("17",AX28)))</formula>
    </cfRule>
  </conditionalFormatting>
  <conditionalFormatting sqref="AX48:AY49 BB48:BD49">
    <cfRule type="containsText" dxfId="426" priority="153" operator="containsText" text="17">
      <formula>NOT(ISERROR(SEARCH("17",AX48)))</formula>
    </cfRule>
  </conditionalFormatting>
  <conditionalFormatting sqref="AX131:AY136 BB131:BB136 BD131:BF136 AZ135:BA136 BC135:BC136 BG135:BK136 AX137:BL137 AX138:AZ142 BC138:BC142 BE138:BG142 BA142:BB142 BD142 BH142:BL142 AX143:BM144 BO143:BP144 BT145:BT148 AX149:BN154 BQ152:BR158 AX155:BF155 BH155:BN155 BG155:BG158 AX156:BB158 BE156:BE158 BH156:BI158 BR159:BR160 AX159:BO162 BP161:BP165 AX163:BC165 BF163:BF165 BH163:BJ165">
    <cfRule type="containsText" dxfId="425" priority="8111" operator="containsText" text="T">
      <formula>NOT(ISERROR(SEARCH("T",AX131)))</formula>
    </cfRule>
  </conditionalFormatting>
  <conditionalFormatting sqref="AX72:AZ72">
    <cfRule type="containsText" dxfId="424" priority="3189" operator="containsText" text="17">
      <formula>NOT(ISERROR(SEARCH("17",AX72)))</formula>
    </cfRule>
    <cfRule type="containsText" dxfId="423" priority="3190" operator="containsText" text="T">
      <formula>NOT(ISERROR(SEARCH("T",AX72)))</formula>
    </cfRule>
  </conditionalFormatting>
  <conditionalFormatting sqref="AZ93:BB93">
    <cfRule type="containsText" dxfId="422" priority="3633" operator="containsText" text="17">
      <formula>NOT(ISERROR(SEARCH("17",AZ93)))</formula>
    </cfRule>
    <cfRule type="containsText" dxfId="421" priority="3634" operator="containsText" text="T">
      <formula>NOT(ISERROR(SEARCH("T",AZ93)))</formula>
    </cfRule>
  </conditionalFormatting>
  <conditionalFormatting sqref="AX156:AZ158">
    <cfRule type="containsText" dxfId="420" priority="1016" operator="containsText" text="17">
      <formula>NOT(ISERROR(SEARCH("17",AX156)))</formula>
    </cfRule>
    <cfRule type="containsText" dxfId="419" priority="1017" operator="containsText" text="T">
      <formula>NOT(ISERROR(SEARCH("T",AX156)))</formula>
    </cfRule>
  </conditionalFormatting>
  <conditionalFormatting sqref="AX131:BA134">
    <cfRule type="containsText" dxfId="418" priority="1218" operator="containsText" text="17">
      <formula>NOT(ISERROR(SEARCH("17",AX131)))</formula>
    </cfRule>
    <cfRule type="containsText" dxfId="417" priority="1219" operator="containsText" text="T">
      <formula>NOT(ISERROR(SEARCH("T",AX131)))</formula>
    </cfRule>
  </conditionalFormatting>
  <conditionalFormatting sqref="AX163:BA165">
    <cfRule type="containsText" dxfId="416" priority="1006" operator="containsText" text="17">
      <formula>NOT(ISERROR(SEARCH("17",AX163)))</formula>
    </cfRule>
    <cfRule type="containsText" dxfId="415" priority="1007" operator="containsText" text="T">
      <formula>NOT(ISERROR(SEARCH("T",AX163)))</formula>
    </cfRule>
  </conditionalFormatting>
  <conditionalFormatting sqref="AX138:BB141">
    <cfRule type="containsText" dxfId="414" priority="1190" operator="containsText" text="17">
      <formula>NOT(ISERROR(SEARCH("17",AX138)))</formula>
    </cfRule>
    <cfRule type="containsText" dxfId="413" priority="1191" operator="containsText" text="T">
      <formula>NOT(ISERROR(SEARCH("T",AX138)))</formula>
    </cfRule>
  </conditionalFormatting>
  <conditionalFormatting sqref="AX199:BB199 AX206:BA206 AX213:AZ213 BP199:BR199 BO206:BQ206 BN213:BP213 BT199 BS206 BR213 BV199 BU206 BT213">
    <cfRule type="containsText" dxfId="412" priority="4637" operator="containsText" text="17">
      <formula>NOT(ISERROR(SEARCH("17",AX199)))</formula>
    </cfRule>
  </conditionalFormatting>
  <conditionalFormatting sqref="AX199:BB199 BP199:BR199 BT199 BV199 AX206:BA206 BO206:BQ206 BS206 BU206 AX213:AZ213 BN213:BP213 BR213 BT213">
    <cfRule type="containsText" dxfId="411" priority="4638" operator="containsText" text="T">
      <formula>NOT(ISERROR(SEARCH("T",AX199)))</formula>
    </cfRule>
  </conditionalFormatting>
  <conditionalFormatting sqref="AX33:BC33">
    <cfRule type="containsText" dxfId="410" priority="8409" operator="containsText" text="T">
      <formula>NOT(ISERROR(SEARCH("T",AX33)))</formula>
    </cfRule>
  </conditionalFormatting>
  <conditionalFormatting sqref="AX70:BC70">
    <cfRule type="containsText" dxfId="409" priority="7432" operator="containsText" text="T">
      <formula>NOT(ISERROR(SEARCH("T",AX70)))</formula>
    </cfRule>
  </conditionalFormatting>
  <conditionalFormatting sqref="AX145:BC148">
    <cfRule type="containsText" dxfId="408" priority="1244" operator="containsText" text="17">
      <formula>NOT(ISERROR(SEARCH("17",AX145)))</formula>
    </cfRule>
    <cfRule type="containsText" dxfId="407" priority="1245" operator="containsText" text="T">
      <formula>NOT(ISERROR(SEARCH("T",AX145)))</formula>
    </cfRule>
  </conditionalFormatting>
  <conditionalFormatting sqref="AX199:BE199 AX206:BD206 AX213:BC213">
    <cfRule type="containsText" dxfId="406" priority="4645" operator="containsText" text="17">
      <formula>NOT(ISERROR(SEARCH("17",AX199)))</formula>
    </cfRule>
    <cfRule type="containsText" dxfId="405" priority="4646" operator="containsText" text="T">
      <formula>NOT(ISERROR(SEARCH("T",AX199)))</formula>
    </cfRule>
  </conditionalFormatting>
  <conditionalFormatting sqref="AX102:BF102">
    <cfRule type="containsText" dxfId="404" priority="3723" operator="containsText" text="17">
      <formula>NOT(ISERROR(SEARCH("17",AX102)))</formula>
    </cfRule>
    <cfRule type="containsText" dxfId="403" priority="3724" operator="containsText" text="T">
      <formula>NOT(ISERROR(SEARCH("T",AX102)))</formula>
    </cfRule>
  </conditionalFormatting>
  <conditionalFormatting sqref="AX123:BD123">
    <cfRule type="containsText" dxfId="402" priority="3985" operator="containsText" text="17">
      <formula>NOT(ISERROR(SEARCH("17",AX123)))</formula>
    </cfRule>
    <cfRule type="containsText" dxfId="401" priority="3986" operator="containsText" text="T">
      <formula>NOT(ISERROR(SEARCH("T",AX123)))</formula>
    </cfRule>
  </conditionalFormatting>
  <conditionalFormatting sqref="AX72:BI72">
    <cfRule type="containsText" dxfId="400" priority="3167" operator="containsText" text="17">
      <formula>NOT(ISERROR(SEARCH("17",AX72)))</formula>
    </cfRule>
    <cfRule type="containsText" dxfId="399" priority="3168" operator="containsText" text="T">
      <formula>NOT(ISERROR(SEARCH("T",AX72)))</formula>
    </cfRule>
  </conditionalFormatting>
  <conditionalFormatting sqref="AX101:BI101">
    <cfRule type="containsText" dxfId="398" priority="8329" operator="containsText" text="17">
      <formula>NOT(ISERROR(SEARCH("17",AX101)))</formula>
    </cfRule>
    <cfRule type="containsText" dxfId="397" priority="8330" operator="containsText" text="T">
      <formula>NOT(ISERROR(SEARCH("T",AX101)))</formula>
    </cfRule>
  </conditionalFormatting>
  <conditionalFormatting sqref="AX131:BK134">
    <cfRule type="containsText" dxfId="396" priority="1198" operator="containsText" text="17">
      <formula>NOT(ISERROR(SEARCH("17",AX131)))</formula>
    </cfRule>
    <cfRule type="containsText" dxfId="395" priority="1199" operator="containsText" text="T">
      <formula>NOT(ISERROR(SEARCH("T",AX131)))</formula>
    </cfRule>
  </conditionalFormatting>
  <conditionalFormatting sqref="AX71:BL71">
    <cfRule type="containsText" dxfId="394" priority="8345" operator="containsText" text="17">
      <formula>NOT(ISERROR(SEARCH("17",AX71)))</formula>
    </cfRule>
    <cfRule type="containsText" dxfId="393" priority="8346" operator="containsText" text="T">
      <formula>NOT(ISERROR(SEARCH("T",AX71)))</formula>
    </cfRule>
  </conditionalFormatting>
  <conditionalFormatting sqref="AX138:BL141">
    <cfRule type="containsText" dxfId="392" priority="1172" operator="containsText" text="17">
      <formula>NOT(ISERROR(SEARCH("17",AX138)))</formula>
    </cfRule>
    <cfRule type="containsText" dxfId="391" priority="1173" operator="containsText" text="T">
      <formula>NOT(ISERROR(SEARCH("T",AX138)))</formula>
    </cfRule>
  </conditionalFormatting>
  <conditionalFormatting sqref="BK232:BV234 BJ228:BV231">
    <cfRule type="containsText" dxfId="390" priority="5263" operator="containsText" text="17">
      <formula>NOT(ISERROR(SEARCH("17",BJ228)))</formula>
    </cfRule>
    <cfRule type="containsText" dxfId="389" priority="5264" operator="containsText" text="T">
      <formula>NOT(ISERROR(SEARCH("T",BJ228)))</formula>
    </cfRule>
    <cfRule type="containsText" dxfId="388" priority="5267" operator="containsText" text="17">
      <formula>NOT(ISERROR(SEARCH("17",BJ228)))</formula>
    </cfRule>
    <cfRule type="containsText" dxfId="387" priority="5268" operator="containsText" text="T">
      <formula>NOT(ISERROR(SEARCH("T",BJ228)))</formula>
    </cfRule>
  </conditionalFormatting>
  <conditionalFormatting sqref="AY28:AY32">
    <cfRule type="containsText" dxfId="386" priority="164" operator="containsText" text="T">
      <formula>NOT(ISERROR(SEARCH("T",AY28)))</formula>
    </cfRule>
  </conditionalFormatting>
  <conditionalFormatting sqref="AY33">
    <cfRule type="containsText" dxfId="385" priority="7783" operator="containsText" text="17">
      <formula>NOT(ISERROR(SEARCH("17",AY33)))</formula>
    </cfRule>
    <cfRule type="containsText" dxfId="384" priority="7784" operator="containsText" text="T">
      <formula>NOT(ISERROR(SEARCH("T",AY33)))</formula>
    </cfRule>
  </conditionalFormatting>
  <conditionalFormatting sqref="AY48:AY49">
    <cfRule type="containsText" dxfId="383" priority="154" operator="containsText" text="T">
      <formula>NOT(ISERROR(SEARCH("T",AY48)))</formula>
    </cfRule>
  </conditionalFormatting>
  <conditionalFormatting sqref="AY50:AY53 BC50:BE53">
    <cfRule type="containsText" dxfId="382" priority="142" operator="containsText" text="T">
      <formula>NOT(ISERROR(SEARCH("T",AY50)))</formula>
    </cfRule>
  </conditionalFormatting>
  <conditionalFormatting sqref="AY63:AY66 BC63:BN66">
    <cfRule type="containsText" dxfId="381" priority="132" operator="containsText" text="T">
      <formula>NOT(ISERROR(SEARCH("T",AY63)))</formula>
    </cfRule>
  </conditionalFormatting>
  <conditionalFormatting sqref="AY91:AY96">
    <cfRule type="containsText" dxfId="380" priority="234" operator="containsText" text="T">
      <formula>NOT(ISERROR(SEARCH("T",AY91)))</formula>
    </cfRule>
  </conditionalFormatting>
  <conditionalFormatting sqref="AY189">
    <cfRule type="containsText" dxfId="379" priority="4469" operator="containsText" text="17">
      <formula>NOT(ISERROR(SEARCH("17",AY189)))</formula>
    </cfRule>
    <cfRule type="containsText" dxfId="378" priority="4470" operator="containsText" text="T">
      <formula>NOT(ISERROR(SEARCH("T",AY189)))</formula>
    </cfRule>
    <cfRule type="containsText" dxfId="377" priority="4487" operator="containsText" text="17">
      <formula>NOT(ISERROR(SEARCH("17",AY189)))</formula>
    </cfRule>
    <cfRule type="containsText" dxfId="376" priority="4488" operator="containsText" text="T">
      <formula>NOT(ISERROR(SEARCH("T",AY189)))</formula>
    </cfRule>
  </conditionalFormatting>
  <conditionalFormatting sqref="AY190 AX191:BH191 BK191 BO191:BS191">
    <cfRule type="containsText" dxfId="375" priority="8091" operator="containsText" text="T">
      <formula>NOT(ISERROR(SEARCH("T",AX190)))</formula>
    </cfRule>
  </conditionalFormatting>
  <conditionalFormatting sqref="AY199 AX206">
    <cfRule type="containsText" dxfId="374" priority="1720" operator="containsText" text="17">
      <formula>NOT(ISERROR(SEARCH("17",AX199)))</formula>
    </cfRule>
    <cfRule type="containsText" dxfId="373" priority="1721" operator="containsText" text="T">
      <formula>NOT(ISERROR(SEARCH("T",AX199)))</formula>
    </cfRule>
  </conditionalFormatting>
  <conditionalFormatting sqref="AY50:AZ53 BC50:BE53">
    <cfRule type="containsText" dxfId="372" priority="143" operator="containsText" text="17">
      <formula>NOT(ISERROR(SEARCH("17",AY50)))</formula>
    </cfRule>
  </conditionalFormatting>
  <conditionalFormatting sqref="AY63:AZ66 BC63:BE66">
    <cfRule type="containsText" dxfId="371" priority="133" operator="containsText" text="17">
      <formula>NOT(ISERROR(SEARCH("17",AY63)))</formula>
    </cfRule>
  </conditionalFormatting>
  <conditionalFormatting sqref="AY145:BL148">
    <cfRule type="containsText" dxfId="370" priority="1224" operator="containsText" text="17">
      <formula>NOT(ISERROR(SEARCH("17",AY145)))</formula>
    </cfRule>
    <cfRule type="containsText" dxfId="369" priority="1225" operator="containsText" text="T">
      <formula>NOT(ISERROR(SEARCH("T",AY145)))</formula>
    </cfRule>
  </conditionalFormatting>
  <conditionalFormatting sqref="AY169:BV173 AY174">
    <cfRule type="containsText" dxfId="368" priority="516" operator="containsText" text="T">
      <formula>NOT(ISERROR(SEARCH("T",AY169)))</formula>
    </cfRule>
  </conditionalFormatting>
  <conditionalFormatting sqref="AY193:BV213 AX195:BV195 BH214:BV215">
    <cfRule type="containsText" dxfId="367" priority="491" operator="containsText" text="T">
      <formula>NOT(ISERROR(SEARCH("T",AX193)))</formula>
    </cfRule>
    <cfRule type="containsText" dxfId="366" priority="492" operator="containsText" text="17">
      <formula>NOT(ISERROR(SEARCH("17",AX193)))</formula>
    </cfRule>
  </conditionalFormatting>
  <conditionalFormatting sqref="AZ15:AZ20">
    <cfRule type="containsText" dxfId="365" priority="221" operator="containsText" text="T">
      <formula>NOT(ISERROR(SEARCH("T",AZ15)))</formula>
    </cfRule>
  </conditionalFormatting>
  <conditionalFormatting sqref="AZ50:AZ53">
    <cfRule type="containsText" dxfId="364" priority="144" operator="containsText" text="T">
      <formula>NOT(ISERROR(SEARCH("T",AZ50)))</formula>
    </cfRule>
  </conditionalFormatting>
  <conditionalFormatting sqref="AZ63:AZ66">
    <cfRule type="containsText" dxfId="363" priority="134" operator="containsText" text="T">
      <formula>NOT(ISERROR(SEARCH("T",AZ63)))</formula>
    </cfRule>
  </conditionalFormatting>
  <conditionalFormatting sqref="AZ86:AZ89 BD86:BF89">
    <cfRule type="containsText" dxfId="362" priority="108" operator="containsText" text="T">
      <formula>NOT(ISERROR(SEARCH("T",AZ86)))</formula>
    </cfRule>
  </conditionalFormatting>
  <conditionalFormatting sqref="AZ59:BA62 BD59:BF62">
    <cfRule type="containsText" dxfId="361" priority="119" operator="containsText" text="17">
      <formula>NOT(ISERROR(SEARCH("17",AZ59)))</formula>
    </cfRule>
  </conditionalFormatting>
  <conditionalFormatting sqref="AZ86:BA89 BD86:BF89">
    <cfRule type="containsText" dxfId="360" priority="109" operator="containsText" text="17">
      <formula>NOT(ISERROR(SEARCH("17",AZ86)))</formula>
    </cfRule>
  </conditionalFormatting>
  <conditionalFormatting sqref="AZ175:BW178">
    <cfRule type="containsText" dxfId="359" priority="510" operator="containsText" text="T">
      <formula>NOT(ISERROR(SEARCH("T",AZ175)))</formula>
    </cfRule>
  </conditionalFormatting>
  <conditionalFormatting sqref="AZ180:BW183">
    <cfRule type="containsText" dxfId="358" priority="504" operator="containsText" text="T">
      <formula>NOT(ISERROR(SEARCH("T",AZ180)))</formula>
    </cfRule>
  </conditionalFormatting>
  <conditionalFormatting sqref="AZ185:BW190">
    <cfRule type="containsText" dxfId="357" priority="498" operator="containsText" text="T">
      <formula>NOT(ISERROR(SEARCH("T",AZ185)))</formula>
    </cfRule>
  </conditionalFormatting>
  <conditionalFormatting sqref="BA22:BA27">
    <cfRule type="containsText" dxfId="356" priority="126" operator="containsText" text="T">
      <formula>NOT(ISERROR(SEARCH("T",BA22)))</formula>
    </cfRule>
    <cfRule type="containsText" dxfId="355" priority="127" operator="containsText" text="17">
      <formula>NOT(ISERROR(SEARCH("17",BA22)))</formula>
    </cfRule>
  </conditionalFormatting>
  <conditionalFormatting sqref="BA35:BA40">
    <cfRule type="containsText" dxfId="354" priority="208" operator="containsText" text="T">
      <formula>NOT(ISERROR(SEARCH("T",BA35)))</formula>
    </cfRule>
  </conditionalFormatting>
  <conditionalFormatting sqref="BA59:BA62">
    <cfRule type="containsText" dxfId="353" priority="120" operator="containsText" text="T">
      <formula>NOT(ISERROR(SEARCH("T",BA59)))</formula>
    </cfRule>
  </conditionalFormatting>
  <conditionalFormatting sqref="BA83:BA85 BE83:BG85">
    <cfRule type="containsText" dxfId="352" priority="98" operator="containsText" text="T">
      <formula>NOT(ISERROR(SEARCH("T",BA83)))</formula>
    </cfRule>
  </conditionalFormatting>
  <conditionalFormatting sqref="BA86:BA89">
    <cfRule type="containsText" dxfId="351" priority="110" operator="containsText" text="T">
      <formula>NOT(ISERROR(SEARCH("T",BA86)))</formula>
    </cfRule>
  </conditionalFormatting>
  <conditionalFormatting sqref="BA102">
    <cfRule type="containsText" dxfId="350" priority="3739" operator="containsText" text="17">
      <formula>NOT(ISERROR(SEARCH("17",BA102)))</formula>
    </cfRule>
    <cfRule type="containsText" dxfId="349" priority="3740" operator="containsText" text="T">
      <formula>NOT(ISERROR(SEARCH("T",BA102)))</formula>
    </cfRule>
  </conditionalFormatting>
  <conditionalFormatting sqref="BA199 AZ206 AY213">
    <cfRule type="containsText" dxfId="348" priority="4633" operator="containsText" text="17">
      <formula>NOT(ISERROR(SEARCH("17",AY199)))</formula>
    </cfRule>
    <cfRule type="containsText" dxfId="347" priority="4634" operator="containsText" text="T">
      <formula>NOT(ISERROR(SEARCH("T",AY199)))</formula>
    </cfRule>
  </conditionalFormatting>
  <conditionalFormatting sqref="BA214:BA217 BE214:BG217">
    <cfRule type="containsText" dxfId="346" priority="88" operator="containsText" text="T">
      <formula>NOT(ISERROR(SEARCH("T",BA214)))</formula>
    </cfRule>
  </conditionalFormatting>
  <conditionalFormatting sqref="BA22:BB27">
    <cfRule type="containsText" dxfId="345" priority="129" operator="containsText" text="T">
      <formula>NOT(ISERROR(SEARCH("T",BA22)))</formula>
    </cfRule>
  </conditionalFormatting>
  <conditionalFormatting sqref="BA83:BB85 BE83:BG85">
    <cfRule type="containsText" dxfId="344" priority="99" operator="containsText" text="17">
      <formula>NOT(ISERROR(SEARCH("17",BA83)))</formula>
    </cfRule>
  </conditionalFormatting>
  <conditionalFormatting sqref="BA214:BB217 BE214:BG217">
    <cfRule type="containsText" dxfId="343" priority="89" operator="containsText" text="17">
      <formula>NOT(ISERROR(SEARCH("17",BA214)))</formula>
    </cfRule>
  </conditionalFormatting>
  <conditionalFormatting sqref="BB22:BB27">
    <cfRule type="containsText" dxfId="342" priority="195" operator="containsText" text="T">
      <formula>NOT(ISERROR(SEARCH("T",BB22)))</formula>
    </cfRule>
  </conditionalFormatting>
  <conditionalFormatting sqref="BB83:BB85">
    <cfRule type="containsText" dxfId="341" priority="100" operator="containsText" text="T">
      <formula>NOT(ISERROR(SEARCH("T",BB83)))</formula>
    </cfRule>
  </conditionalFormatting>
  <conditionalFormatting sqref="AY123">
    <cfRule type="containsText" dxfId="340" priority="4001" operator="containsText" text="17">
      <formula>NOT(ISERROR(SEARCH("17",AY123)))</formula>
    </cfRule>
    <cfRule type="containsText" dxfId="339" priority="4002" operator="containsText" text="T">
      <formula>NOT(ISERROR(SEARCH("T",AY123)))</formula>
    </cfRule>
  </conditionalFormatting>
  <conditionalFormatting sqref="BB199 BD199:BI199 BA206 BC206:BH206 AZ213 BB213:BG213">
    <cfRule type="containsText" dxfId="338" priority="4647" operator="containsText" text="17">
      <formula>NOT(ISERROR(SEARCH("17",AZ199)))</formula>
    </cfRule>
    <cfRule type="containsText" dxfId="337" priority="4648" operator="containsText" text="T">
      <formula>NOT(ISERROR(SEARCH("T",AZ199)))</formula>
    </cfRule>
  </conditionalFormatting>
  <conditionalFormatting sqref="BB214:BB217">
    <cfRule type="containsText" dxfId="336" priority="90" operator="containsText" text="T">
      <formula>NOT(ISERROR(SEARCH("T",BB214)))</formula>
    </cfRule>
  </conditionalFormatting>
  <conditionalFormatting sqref="BB35:BC40 AX54:BC58 AX67:BC69 BK69:BM69 BN69:BN70 AX73:BJ75 BB93:BC96 BF93:BF96 AY99:AZ100 BJ120:BK120 BJ121:BJ122 BD124:BD126 BK131:BK136 BS161:BS165 AX166:BI167 BL166:BM167 BP166:BS167 AX175:AX178 AX196:AX198 AX203:BT205 BV203:BV205 BU210:BU212 AX212:BS212 BO97:BP97 BS97:BT97 AX97:AZ98 BB97:BB98">
    <cfRule type="containsText" dxfId="335" priority="8123" operator="containsText" text="T">
      <formula>NOT(ISERROR(SEARCH("T",AX35)))</formula>
    </cfRule>
  </conditionalFormatting>
  <conditionalFormatting sqref="BB156:BD158">
    <cfRule type="containsText" dxfId="334" priority="1018" operator="containsText" text="17">
      <formula>NOT(ISERROR(SEARCH("17",BB156)))</formula>
    </cfRule>
    <cfRule type="containsText" dxfId="333" priority="1019" operator="containsText" text="T">
      <formula>NOT(ISERROR(SEARCH("T",BB156)))</formula>
    </cfRule>
  </conditionalFormatting>
  <conditionalFormatting sqref="BB169:BL173">
    <cfRule type="containsText" dxfId="332" priority="520" operator="containsText" text="17">
      <formula>NOT(ISERROR(SEARCH("17",BB169)))</formula>
    </cfRule>
  </conditionalFormatting>
  <conditionalFormatting sqref="BB170:BN173">
    <cfRule type="containsText" dxfId="331" priority="517" operator="containsText" text="17">
      <formula>NOT(ISERROR(SEARCH("17",BB170)))</formula>
    </cfRule>
  </conditionalFormatting>
  <conditionalFormatting sqref="BB194:BN194 BB196:BN198">
    <cfRule type="containsText" dxfId="330" priority="493" operator="containsText" text="17">
      <formula>NOT(ISERROR(SEARCH("17",BB194)))</formula>
    </cfRule>
  </conditionalFormatting>
  <conditionalFormatting sqref="BC34">
    <cfRule type="containsText" dxfId="329" priority="7637" operator="containsText" text="17">
      <formula>NOT(ISERROR(SEARCH("17",BC34)))</formula>
    </cfRule>
    <cfRule type="containsText" dxfId="328" priority="7638" operator="containsText" text="T">
      <formula>NOT(ISERROR(SEARCH("T",BC34)))</formula>
    </cfRule>
    <cfRule type="containsText" dxfId="327" priority="7639" operator="containsText" text="17">
      <formula>NOT(ISERROR(SEARCH("17",BC34)))</formula>
    </cfRule>
    <cfRule type="containsText" dxfId="326" priority="7640" operator="containsText" text="T">
      <formula>NOT(ISERROR(SEARCH("T",BC34)))</formula>
    </cfRule>
  </conditionalFormatting>
  <conditionalFormatting sqref="BC42:BC47">
    <cfRule type="containsText" dxfId="325" priority="182" operator="containsText" text="T">
      <formula>NOT(ISERROR(SEARCH("T",BC42)))</formula>
    </cfRule>
  </conditionalFormatting>
  <conditionalFormatting sqref="BC199 BB206 BA213 BS127">
    <cfRule type="containsText" dxfId="324" priority="1722" operator="containsText" text="17">
      <formula>NOT(ISERROR(SEARCH("17",BA127)))</formula>
    </cfRule>
  </conditionalFormatting>
  <conditionalFormatting sqref="BC163:BE165">
    <cfRule type="containsText" dxfId="323" priority="1008" operator="containsText" text="17">
      <formula>NOT(ISERROR(SEARCH("17",BC163)))</formula>
    </cfRule>
    <cfRule type="containsText" dxfId="322" priority="1009" operator="containsText" text="T">
      <formula>NOT(ISERROR(SEARCH("T",BC163)))</formula>
    </cfRule>
  </conditionalFormatting>
  <conditionalFormatting sqref="BC156:BF158 BI156:BN158">
    <cfRule type="containsText" dxfId="321" priority="1014" operator="containsText" text="17">
      <formula>NOT(ISERROR(SEARCH("17",BC156)))</formula>
    </cfRule>
    <cfRule type="containsText" dxfId="320" priority="1015" operator="containsText" text="T">
      <formula>NOT(ISERROR(SEARCH("T",BC156)))</formula>
    </cfRule>
  </conditionalFormatting>
  <conditionalFormatting sqref="BC16:BO20">
    <cfRule type="containsText" dxfId="319" priority="7956" operator="containsText" text="17">
      <formula>NOT(ISERROR(SEARCH("17",BC16)))</formula>
    </cfRule>
  </conditionalFormatting>
  <conditionalFormatting sqref="BC176:BO178">
    <cfRule type="containsText" dxfId="318" priority="511" operator="containsText" text="17">
      <formula>NOT(ISERROR(SEARCH("17",BC176)))</formula>
    </cfRule>
  </conditionalFormatting>
  <conditionalFormatting sqref="BC181:BO183">
    <cfRule type="containsText" dxfId="317" priority="505" operator="containsText" text="17">
      <formula>NOT(ISERROR(SEARCH("17",BC181)))</formula>
    </cfRule>
  </conditionalFormatting>
  <conditionalFormatting sqref="BC186:BO190">
    <cfRule type="containsText" dxfId="316" priority="499" operator="containsText" text="17">
      <formula>NOT(ISERROR(SEARCH("17",BC186)))</formula>
    </cfRule>
  </conditionalFormatting>
  <conditionalFormatting sqref="BC199:BR199 BB206:BQ206 BA213:BP213 BS127">
    <cfRule type="containsText" dxfId="315" priority="4627" operator="containsText" text="17">
      <formula>NOT(ISERROR(SEARCH("17",BA127)))</formula>
    </cfRule>
  </conditionalFormatting>
  <conditionalFormatting sqref="BD72">
    <cfRule type="containsText" dxfId="314" priority="3183" operator="containsText" text="17">
      <formula>NOT(ISERROR(SEARCH("17",BD72)))</formula>
    </cfRule>
    <cfRule type="containsText" dxfId="313" priority="3184" operator="containsText" text="T">
      <formula>NOT(ISERROR(SEARCH("T",BD72)))</formula>
    </cfRule>
  </conditionalFormatting>
  <conditionalFormatting sqref="BD163:BG165 BJ163:BO165">
    <cfRule type="containsText" dxfId="312" priority="1004" operator="containsText" text="17">
      <formula>NOT(ISERROR(SEARCH("17",BD163)))</formula>
    </cfRule>
    <cfRule type="containsText" dxfId="311" priority="1005" operator="containsText" text="T">
      <formula>NOT(ISERROR(SEARCH("T",BD163)))</formula>
    </cfRule>
  </conditionalFormatting>
  <conditionalFormatting sqref="BD54:BN62 AZ59:AZ62">
    <cfRule type="containsText" dxfId="310" priority="118" operator="containsText" text="T">
      <formula>NOT(ISERROR(SEARCH("T",AZ54)))</formula>
    </cfRule>
  </conditionalFormatting>
  <conditionalFormatting sqref="BD35:CA39">
    <cfRule type="containsText" dxfId="309" priority="626" operator="containsText" text="T">
      <formula>NOT(ISERROR(SEARCH("T",BD35)))</formula>
    </cfRule>
  </conditionalFormatting>
  <conditionalFormatting sqref="BD41:CA45">
    <cfRule type="containsText" dxfId="308" priority="619" operator="containsText" text="T">
      <formula>NOT(ISERROR(SEARCH("T",BD41)))</formula>
    </cfRule>
  </conditionalFormatting>
  <conditionalFormatting sqref="BD47:CA47 BE48:CA48">
    <cfRule type="containsText" dxfId="307" priority="614" operator="containsText" text="T">
      <formula>NOT(ISERROR(SEARCH("T",BD47)))</formula>
    </cfRule>
  </conditionalFormatting>
  <conditionalFormatting sqref="BE131:BE134">
    <cfRule type="containsText" dxfId="306" priority="1212" operator="containsText" text="17">
      <formula>NOT(ISERROR(SEARCH("17",BE131)))</formula>
    </cfRule>
    <cfRule type="containsText" dxfId="305" priority="1213" operator="containsText" text="T">
      <formula>NOT(ISERROR(SEARCH("T",BE131)))</formula>
    </cfRule>
  </conditionalFormatting>
  <conditionalFormatting sqref="BE199:BF199 BD206:BE206 BC213:BD213">
    <cfRule type="containsText" dxfId="304" priority="1718" operator="containsText" text="17">
      <formula>NOT(ISERROR(SEARCH("17",BC199)))</formula>
    </cfRule>
    <cfRule type="containsText" dxfId="303" priority="1719" operator="containsText" text="T">
      <formula>NOT(ISERROR(SEARCH("T",BC199)))</formula>
    </cfRule>
  </conditionalFormatting>
  <conditionalFormatting sqref="BE23:BQ27">
    <cfRule type="containsText" dxfId="302" priority="639" operator="containsText" text="17">
      <formula>NOT(ISERROR(SEARCH("17",BE23)))</formula>
    </cfRule>
  </conditionalFormatting>
  <conditionalFormatting sqref="BF93:BF96 AZ94:BB96 AX97:BO97 BS97 AX98:BL98 AX124:BE126 BG69:BI69 BG94:BI96 BQ149:BQ151 BM231:BV234">
    <cfRule type="containsText" dxfId="301" priority="8152" operator="containsText" text="17">
      <formula>NOT(ISERROR(SEARCH("17",AX69)))</formula>
    </cfRule>
  </conditionalFormatting>
  <conditionalFormatting sqref="BF138:BF141">
    <cfRule type="containsText" dxfId="300" priority="1186" operator="containsText" text="17">
      <formula>NOT(ISERROR(SEARCH("17",BF138)))</formula>
    </cfRule>
    <cfRule type="containsText" dxfId="299" priority="1187" operator="containsText" text="T">
      <formula>NOT(ISERROR(SEARCH("T",BF138)))</formula>
    </cfRule>
  </conditionalFormatting>
  <conditionalFormatting sqref="BF102:BG102 BJ102">
    <cfRule type="containsText" dxfId="298" priority="3736" operator="containsText" text="T">
      <formula>NOT(ISERROR(SEARCH("T",BF102)))</formula>
    </cfRule>
  </conditionalFormatting>
  <conditionalFormatting sqref="BF50:CA52 BF53:BN53 BD67:BN68">
    <cfRule type="containsText" dxfId="297" priority="609" operator="containsText" text="T">
      <formula>NOT(ISERROR(SEARCH("T",BD50)))</formula>
    </cfRule>
  </conditionalFormatting>
  <conditionalFormatting sqref="BG70">
    <cfRule type="containsText" dxfId="296" priority="8359" operator="containsText" text="17">
      <formula>NOT(ISERROR(SEARCH("17",BG70)))</formula>
    </cfRule>
    <cfRule type="containsText" dxfId="295" priority="8360" operator="containsText" text="T">
      <formula>NOT(ISERROR(SEARCH("T",BG70)))</formula>
    </cfRule>
    <cfRule type="containsText" dxfId="294" priority="8363" operator="containsText" text="17">
      <formula>NOT(ISERROR(SEARCH("17",BG70)))</formula>
    </cfRule>
    <cfRule type="containsText" dxfId="293" priority="8364" operator="containsText" text="T">
      <formula>NOT(ISERROR(SEARCH("T",BG70)))</formula>
    </cfRule>
  </conditionalFormatting>
  <conditionalFormatting sqref="BG86 BG93:BI93">
    <cfRule type="containsText" dxfId="292" priority="3677" operator="containsText" text="17">
      <formula>NOT(ISERROR(SEARCH("17",BG86)))</formula>
    </cfRule>
    <cfRule type="containsText" dxfId="291" priority="3678" operator="containsText" text="T">
      <formula>NOT(ISERROR(SEARCH("T",BG86)))</formula>
    </cfRule>
  </conditionalFormatting>
  <conditionalFormatting sqref="BG131:BG133">
    <cfRule type="containsText" dxfId="290" priority="1196" operator="containsText" text="17">
      <formula>NOT(ISERROR(SEARCH("17",BG131)))</formula>
    </cfRule>
    <cfRule type="containsText" dxfId="289" priority="1197" operator="containsText" text="T">
      <formula>NOT(ISERROR(SEARCH("T",BG131)))</formula>
    </cfRule>
  </conditionalFormatting>
  <conditionalFormatting sqref="BG145:BG148">
    <cfRule type="containsText" dxfId="288" priority="1240" operator="containsText" text="17">
      <formula>NOT(ISERROR(SEARCH("17",BG145)))</formula>
    </cfRule>
    <cfRule type="containsText" dxfId="287" priority="1241" operator="containsText" text="T">
      <formula>NOT(ISERROR(SEARCH("T",BG145)))</formula>
    </cfRule>
  </conditionalFormatting>
  <conditionalFormatting sqref="BL79">
    <cfRule type="containsText" dxfId="286" priority="3446" operator="containsText" text="T">
      <formula>NOT(ISERROR(SEARCH("T",BL79)))</formula>
    </cfRule>
  </conditionalFormatting>
  <conditionalFormatting sqref="BD123:BE123 BH123">
    <cfRule type="containsText" dxfId="285" priority="3998" operator="containsText" text="T">
      <formula>NOT(ISERROR(SEARCH("T",BD123)))</formula>
    </cfRule>
  </conditionalFormatting>
  <conditionalFormatting sqref="BG69:BI69 BF93:BF96 AZ94:BB96 BG94:BI96 AX97:BO97 BS97 AX98:BL98 AX124:BE126 BQ149:BQ151 BM231:BV234">
    <cfRule type="containsText" dxfId="284" priority="8153" operator="containsText" text="T">
      <formula>NOT(ISERROR(SEARCH("T",AX69)))</formula>
    </cfRule>
  </conditionalFormatting>
  <conditionalFormatting sqref="BG35:BQ39">
    <cfRule type="containsText" dxfId="283" priority="630" operator="containsText" text="17">
      <formula>NOT(ISERROR(SEARCH("17",BG35)))</formula>
    </cfRule>
  </conditionalFormatting>
  <conditionalFormatting sqref="BG41:BQ45">
    <cfRule type="containsText" dxfId="282" priority="623" operator="containsText" text="17">
      <formula>NOT(ISERROR(SEARCH("17",BG41)))</formula>
    </cfRule>
  </conditionalFormatting>
  <conditionalFormatting sqref="BG47:BQ48">
    <cfRule type="containsText" dxfId="281" priority="618" operator="containsText" text="17">
      <formula>NOT(ISERROR(SEARCH("17",BG47)))</formula>
    </cfRule>
  </conditionalFormatting>
  <conditionalFormatting sqref="BG50:BQ52">
    <cfRule type="containsText" dxfId="280" priority="613" operator="containsText" text="17">
      <formula>NOT(ISERROR(SEARCH("17",BG50)))</formula>
    </cfRule>
  </conditionalFormatting>
  <conditionalFormatting sqref="BG30:BS33">
    <cfRule type="containsText" dxfId="279" priority="633" operator="containsText" text="17">
      <formula>NOT(ISERROR(SEARCH("17",BG30)))</formula>
    </cfRule>
  </conditionalFormatting>
  <conditionalFormatting sqref="BG36:BS39">
    <cfRule type="containsText" dxfId="278" priority="627" operator="containsText" text="17">
      <formula>NOT(ISERROR(SEARCH("17",BG36)))</formula>
    </cfRule>
  </conditionalFormatting>
  <conditionalFormatting sqref="BG42:BS45">
    <cfRule type="containsText" dxfId="277" priority="620" operator="containsText" text="17">
      <formula>NOT(ISERROR(SEARCH("17",BG42)))</formula>
    </cfRule>
  </conditionalFormatting>
  <conditionalFormatting sqref="BG48:BS48">
    <cfRule type="containsText" dxfId="276" priority="615" operator="containsText" text="17">
      <formula>NOT(ISERROR(SEARCH("17",BG48)))</formula>
    </cfRule>
  </conditionalFormatting>
  <conditionalFormatting sqref="BG51:BS52 BG53:BN68">
    <cfRule type="containsText" dxfId="275" priority="610" operator="containsText" text="17">
      <formula>NOT(ISERROR(SEARCH("17",BG51)))</formula>
    </cfRule>
  </conditionalFormatting>
  <conditionalFormatting sqref="BH138:BH140">
    <cfRule type="containsText" dxfId="274" priority="1222" operator="containsText" text="17">
      <formula>NOT(ISERROR(SEARCH("17",BH138)))</formula>
    </cfRule>
    <cfRule type="containsText" dxfId="273" priority="1223" operator="containsText" text="T">
      <formula>NOT(ISERROR(SEARCH("T",BH138)))</formula>
    </cfRule>
  </conditionalFormatting>
  <conditionalFormatting sqref="BH214:BI216">
    <cfRule type="containsText" dxfId="272" priority="5433" operator="containsText" text="17">
      <formula>NOT(ISERROR(SEARCH("17",BH214)))</formula>
    </cfRule>
    <cfRule type="containsText" dxfId="271" priority="5434" operator="containsText" text="T">
      <formula>NOT(ISERROR(SEARCH("T",BH214)))</formula>
    </cfRule>
  </conditionalFormatting>
  <conditionalFormatting sqref="BH84:CE89">
    <cfRule type="containsText" dxfId="270" priority="586" operator="containsText" text="17">
      <formula>NOT(ISERROR(SEARCH("17",BH84)))</formula>
    </cfRule>
  </conditionalFormatting>
  <conditionalFormatting sqref="BI72:BJ72 BM72">
    <cfRule type="containsText" dxfId="269" priority="3180" operator="containsText" text="T">
      <formula>NOT(ISERROR(SEARCH("T",BI72)))</formula>
    </cfRule>
  </conditionalFormatting>
  <conditionalFormatting sqref="BI214:BJ216 BM214:BM216">
    <cfRule type="containsText" dxfId="268" priority="5440" operator="containsText" text="T">
      <formula>NOT(ISERROR(SEARCH("T",BI214)))</formula>
    </cfRule>
  </conditionalFormatting>
  <conditionalFormatting sqref="BJ102 BF102:BG102">
    <cfRule type="containsText" dxfId="267" priority="3735" operator="containsText" text="17">
      <formula>NOT(ISERROR(SEARCH("17",BF102)))</formula>
    </cfRule>
  </conditionalFormatting>
  <conditionalFormatting sqref="BJ102">
    <cfRule type="containsText" dxfId="266" priority="3733" operator="containsText" text="17">
      <formula>NOT(ISERROR(SEARCH("17",BJ102)))</formula>
    </cfRule>
    <cfRule type="containsText" dxfId="265" priority="3734" operator="containsText" text="T">
      <formula>NOT(ISERROR(SEARCH("T",BJ102)))</formula>
    </cfRule>
  </conditionalFormatting>
  <conditionalFormatting sqref="BJ152:BJ154">
    <cfRule type="containsText" dxfId="264" priority="1012" operator="containsText" text="17">
      <formula>NOT(ISERROR(SEARCH("17",BJ152)))</formula>
    </cfRule>
    <cfRule type="containsText" dxfId="263" priority="1013" operator="containsText" text="T">
      <formula>NOT(ISERROR(SEARCH("T",BJ152)))</formula>
    </cfRule>
  </conditionalFormatting>
  <conditionalFormatting sqref="BJ199 BI206 BH213">
    <cfRule type="containsText" dxfId="262" priority="4625" operator="containsText" text="17">
      <formula>NOT(ISERROR(SEARCH("17",BH199)))</formula>
    </cfRule>
    <cfRule type="containsText" dxfId="261" priority="4626" operator="containsText" text="T">
      <formula>NOT(ISERROR(SEARCH("T",BH199)))</formula>
    </cfRule>
  </conditionalFormatting>
  <conditionalFormatting sqref="BJ131:BK134 BN131:BN134">
    <cfRule type="containsText" dxfId="260" priority="1209" operator="containsText" text="T">
      <formula>NOT(ISERROR(SEARCH("T",BJ131)))</formula>
    </cfRule>
  </conditionalFormatting>
  <conditionalFormatting sqref="BH123 BD123:BE123">
    <cfRule type="containsText" dxfId="259" priority="3997" operator="containsText" text="17">
      <formula>NOT(ISERROR(SEARCH("17",BD123)))</formula>
    </cfRule>
  </conditionalFormatting>
  <conditionalFormatting sqref="BH123">
    <cfRule type="containsText" dxfId="258" priority="3995" operator="containsText" text="17">
      <formula>NOT(ISERROR(SEARCH("17",BH123)))</formula>
    </cfRule>
    <cfRule type="containsText" dxfId="257" priority="3996" operator="containsText" text="T">
      <formula>NOT(ISERROR(SEARCH("T",BH123)))</formula>
    </cfRule>
  </conditionalFormatting>
  <conditionalFormatting sqref="BK199 BJ206 BI213">
    <cfRule type="containsText" dxfId="256" priority="4641" operator="containsText" text="17">
      <formula>NOT(ISERROR(SEARCH("17",BI199)))</formula>
    </cfRule>
    <cfRule type="containsText" dxfId="255" priority="4642" operator="containsText" text="T">
      <formula>NOT(ISERROR(SEARCH("T",BI199)))</formula>
    </cfRule>
  </conditionalFormatting>
  <conditionalFormatting sqref="BK217:BK223 BL224:BL230">
    <cfRule type="containsText" dxfId="254" priority="5191" operator="containsText" text="17">
      <formula>NOT(ISERROR(SEARCH("17",BK217)))</formula>
    </cfRule>
    <cfRule type="containsText" dxfId="253" priority="5192" operator="containsText" text="T">
      <formula>NOT(ISERROR(SEARCH("T",BK217)))</formula>
    </cfRule>
  </conditionalFormatting>
  <conditionalFormatting sqref="BL79">
    <cfRule type="containsText" dxfId="252" priority="3445" operator="containsText" text="17">
      <formula>NOT(ISERROR(SEARCH("17",BL79)))</formula>
    </cfRule>
  </conditionalFormatting>
  <conditionalFormatting sqref="BK138:BL141 BO138:BO141">
    <cfRule type="containsText" dxfId="251" priority="1183" operator="containsText" text="T">
      <formula>NOT(ISERROR(SEARCH("T",BK138)))</formula>
    </cfRule>
  </conditionalFormatting>
  <conditionalFormatting sqref="BK70:BM70">
    <cfRule type="containsText" dxfId="250" priority="7431" operator="containsText" text="T">
      <formula>NOT(ISERROR(SEARCH("T",BK70)))</formula>
    </cfRule>
  </conditionalFormatting>
  <conditionalFormatting sqref="BK217:BN217">
    <cfRule type="containsText" dxfId="249" priority="4889" operator="containsText" text="17">
      <formula>NOT(ISERROR(SEARCH("17",BK217)))</formula>
    </cfRule>
    <cfRule type="containsText" dxfId="248" priority="4890" operator="containsText" text="T">
      <formula>NOT(ISERROR(SEARCH("T",BK217)))</formula>
    </cfRule>
  </conditionalFormatting>
  <conditionalFormatting sqref="BK218:BN223">
    <cfRule type="containsText" dxfId="247" priority="5197" operator="containsText" text="17">
      <formula>NOT(ISERROR(SEARCH("17",BK218)))</formula>
    </cfRule>
    <cfRule type="containsText" dxfId="246" priority="5198" operator="containsText" text="T">
      <formula>NOT(ISERROR(SEARCH("T",BK218)))</formula>
    </cfRule>
  </conditionalFormatting>
  <conditionalFormatting sqref="BK85:BW89">
    <cfRule type="containsText" dxfId="245" priority="587" operator="containsText" text="17">
      <formula>NOT(ISERROR(SEARCH("17",BK85)))</formula>
    </cfRule>
  </conditionalFormatting>
  <conditionalFormatting sqref="BL145:BM148 BP145:BQ148">
    <cfRule type="containsText" dxfId="244" priority="1237" operator="containsText" text="T">
      <formula>NOT(ISERROR(SEARCH("T",BL145)))</formula>
    </cfRule>
  </conditionalFormatting>
  <conditionalFormatting sqref="BL199:BM199 BK206:BL206 BJ213:BK213">
    <cfRule type="containsText" dxfId="243" priority="1716" operator="containsText" text="17">
      <formula>NOT(ISERROR(SEARCH("17",BJ199)))</formula>
    </cfRule>
    <cfRule type="containsText" dxfId="242" priority="1717" operator="containsText" text="T">
      <formula>NOT(ISERROR(SEARCH("T",BJ199)))</formula>
    </cfRule>
  </conditionalFormatting>
  <conditionalFormatting sqref="BL224:BP230 BO214:BO223">
    <cfRule type="containsText" dxfId="241" priority="5195" operator="containsText" text="17">
      <formula>NOT(ISERROR(SEARCH("17",BL214)))</formula>
    </cfRule>
  </conditionalFormatting>
  <conditionalFormatting sqref="BL217:BQ217">
    <cfRule type="containsText" dxfId="240" priority="4891" operator="containsText" text="17">
      <formula>NOT(ISERROR(SEARCH("17",BL217)))</formula>
    </cfRule>
    <cfRule type="containsText" dxfId="239" priority="4892" operator="containsText" text="T">
      <formula>NOT(ISERROR(SEARCH("T",BL217)))</formula>
    </cfRule>
  </conditionalFormatting>
  <conditionalFormatting sqref="BL218:BQ223 BM224:BV230">
    <cfRule type="containsText" dxfId="238" priority="5203" operator="containsText" text="17">
      <formula>NOT(ISERROR(SEARCH("17",BL218)))</formula>
    </cfRule>
    <cfRule type="containsText" dxfId="237" priority="5204" operator="containsText" text="T">
      <formula>NOT(ISERROR(SEARCH("T",BL218)))</formula>
    </cfRule>
  </conditionalFormatting>
  <conditionalFormatting sqref="BL117:CI120 CI121:CI122">
    <cfRule type="containsText" dxfId="236" priority="558" operator="containsText" text="17">
      <formula>NOT(ISERROR(SEARCH("17",BL117)))</formula>
    </cfRule>
  </conditionalFormatting>
  <conditionalFormatting sqref="BM72 BI72:BJ72">
    <cfRule type="containsText" dxfId="235" priority="3179" operator="containsText" text="17">
      <formula>NOT(ISERROR(SEARCH("17",BI72)))</formula>
    </cfRule>
  </conditionalFormatting>
  <conditionalFormatting sqref="BM72">
    <cfRule type="containsText" dxfId="234" priority="3177" operator="containsText" text="17">
      <formula>NOT(ISERROR(SEARCH("17",BM72)))</formula>
    </cfRule>
    <cfRule type="containsText" dxfId="233" priority="3178" operator="containsText" text="T">
      <formula>NOT(ISERROR(SEARCH("T",BM72)))</formula>
    </cfRule>
  </conditionalFormatting>
  <conditionalFormatting sqref="BM214:BM216 BI214:BJ216">
    <cfRule type="containsText" dxfId="232" priority="5439" operator="containsText" text="17">
      <formula>NOT(ISERROR(SEARCH("17",BI214)))</formula>
    </cfRule>
  </conditionalFormatting>
  <conditionalFormatting sqref="BM214:BM216">
    <cfRule type="containsText" dxfId="231" priority="5437" operator="containsText" text="17">
      <formula>NOT(ISERROR(SEARCH("17",BM214)))</formula>
    </cfRule>
    <cfRule type="containsText" dxfId="230" priority="5438" operator="containsText" text="T">
      <formula>NOT(ISERROR(SEARCH("T",BM214)))</formula>
    </cfRule>
  </conditionalFormatting>
  <conditionalFormatting sqref="BM169:BN169 BO169:BU173">
    <cfRule type="containsText" dxfId="229" priority="518" operator="containsText" text="17">
      <formula>NOT(ISERROR(SEARCH("17",BM169)))</formula>
    </cfRule>
    <cfRule type="containsText" dxfId="228" priority="519" operator="containsText" text="T">
      <formula>NOT(ISERROR(SEARCH("T",BM169)))</formula>
    </cfRule>
  </conditionalFormatting>
  <conditionalFormatting sqref="BM193:BN215 BP193:BU215">
    <cfRule type="containsText" dxfId="227" priority="495" operator="containsText" text="T">
      <formula>NOT(ISERROR(SEARCH("T",BM193)))</formula>
    </cfRule>
  </conditionalFormatting>
  <conditionalFormatting sqref="BM193:BU215">
    <cfRule type="containsText" dxfId="226" priority="494" operator="containsText" text="17">
      <formula>NOT(ISERROR(SEARCH("17",BM193)))</formula>
    </cfRule>
  </conditionalFormatting>
  <conditionalFormatting sqref="BM92:BY96">
    <cfRule type="containsText" dxfId="225" priority="581" operator="containsText" text="17">
      <formula>NOT(ISERROR(SEARCH("17",BM92)))</formula>
    </cfRule>
  </conditionalFormatting>
  <conditionalFormatting sqref="BM79:CJ82 CF83:CJ84">
    <cfRule type="containsText" dxfId="224" priority="592" operator="containsText" text="17">
      <formula>NOT(ISERROR(SEARCH("17",BM79)))</formula>
    </cfRule>
  </conditionalFormatting>
  <conditionalFormatting sqref="BM105:CJ106 BN107:CJ109">
    <cfRule type="containsText" dxfId="223" priority="570" operator="containsText" text="17">
      <formula>NOT(ISERROR(SEARCH("17",BM105)))</formula>
    </cfRule>
  </conditionalFormatting>
  <conditionalFormatting sqref="BM113:CJ115 CJ116 BN111:CJ112">
    <cfRule type="containsText" dxfId="222" priority="564" operator="containsText" text="17">
      <formula>NOT(ISERROR(SEARCH("17",BM111)))</formula>
    </cfRule>
  </conditionalFormatting>
  <conditionalFormatting sqref="BN131:BN134 BJ131:BK134">
    <cfRule type="containsText" dxfId="221" priority="1208" operator="containsText" text="17">
      <formula>NOT(ISERROR(SEARCH("17",BJ131)))</formula>
    </cfRule>
  </conditionalFormatting>
  <conditionalFormatting sqref="BN131:BN134">
    <cfRule type="containsText" dxfId="220" priority="1206" operator="containsText" text="17">
      <formula>NOT(ISERROR(SEARCH("17",BN131)))</formula>
    </cfRule>
    <cfRule type="containsText" dxfId="219" priority="1207" operator="containsText" text="T">
      <formula>NOT(ISERROR(SEARCH("T",BN131)))</formula>
    </cfRule>
  </conditionalFormatting>
  <conditionalFormatting sqref="BN15:BO15 BP15:BV20">
    <cfRule type="containsText" dxfId="218" priority="7957" operator="containsText" text="17">
      <formula>NOT(ISERROR(SEARCH("17",BN15)))</formula>
    </cfRule>
  </conditionalFormatting>
  <conditionalFormatting sqref="BN15:BO15 BQ15:BU15">
    <cfRule type="containsText" dxfId="217" priority="7958" operator="containsText" text="T">
      <formula>NOT(ISERROR(SEARCH("T",BN15)))</formula>
    </cfRule>
  </conditionalFormatting>
  <conditionalFormatting sqref="BN175:BO175 BP175:BV178">
    <cfRule type="containsText" dxfId="216" priority="512" operator="containsText" text="17">
      <formula>NOT(ISERROR(SEARCH("17",BN175)))</formula>
    </cfRule>
    <cfRule type="containsText" dxfId="215" priority="513" operator="containsText" text="T">
      <formula>NOT(ISERROR(SEARCH("T",BN175)))</formula>
    </cfRule>
  </conditionalFormatting>
  <conditionalFormatting sqref="BN180:BO180 BP180:BV183">
    <cfRule type="containsText" dxfId="214" priority="506" operator="containsText" text="17">
      <formula>NOT(ISERROR(SEARCH("17",BN180)))</formula>
    </cfRule>
    <cfRule type="containsText" dxfId="213" priority="507" operator="containsText" text="T">
      <formula>NOT(ISERROR(SEARCH("T",BN180)))</formula>
    </cfRule>
  </conditionalFormatting>
  <conditionalFormatting sqref="BN185:BO185 BP185:BV190">
    <cfRule type="containsText" dxfId="212" priority="500" operator="containsText" text="17">
      <formula>NOT(ISERROR(SEARCH("17",BN185)))</formula>
    </cfRule>
    <cfRule type="containsText" dxfId="211" priority="501" operator="containsText" text="T">
      <formula>NOT(ISERROR(SEARCH("T",BN185)))</formula>
    </cfRule>
  </conditionalFormatting>
  <conditionalFormatting sqref="BN123:BZ126">
    <cfRule type="containsText" dxfId="210" priority="553" operator="containsText" text="17">
      <formula>NOT(ISERROR(SEARCH("17",BN123)))</formula>
    </cfRule>
  </conditionalFormatting>
  <conditionalFormatting sqref="BN73:CK77 CK78">
    <cfRule type="containsText" dxfId="209" priority="598" operator="containsText" text="17">
      <formula>NOT(ISERROR(SEARCH("17",BN73)))</formula>
    </cfRule>
  </conditionalFormatting>
  <conditionalFormatting sqref="BO134">
    <cfRule type="containsText" dxfId="208" priority="1220" operator="containsText" text="17">
      <formula>NOT(ISERROR(SEARCH("17",BO134)))</formula>
    </cfRule>
    <cfRule type="containsText" dxfId="207" priority="1221" operator="containsText" text="T">
      <formula>NOT(ISERROR(SEARCH("T",BO134)))</formula>
    </cfRule>
  </conditionalFormatting>
  <conditionalFormatting sqref="BO138:BO141 BK138:BL141">
    <cfRule type="containsText" dxfId="206" priority="1182" operator="containsText" text="17">
      <formula>NOT(ISERROR(SEARCH("17",BK138)))</formula>
    </cfRule>
  </conditionalFormatting>
  <conditionalFormatting sqref="BO138:BO141">
    <cfRule type="containsText" dxfId="205" priority="1180" operator="containsText" text="17">
      <formula>NOT(ISERROR(SEARCH("17",BO138)))</formula>
    </cfRule>
    <cfRule type="containsText" dxfId="204" priority="1181" operator="containsText" text="T">
      <formula>NOT(ISERROR(SEARCH("T",BO138)))</formula>
    </cfRule>
  </conditionalFormatting>
  <conditionalFormatting sqref="BO193:BO215 BP194:BT194 BM195:BS195 BO196:BT198">
    <cfRule type="containsText" dxfId="203" priority="497" operator="containsText" text="T">
      <formula>NOT(ISERROR(SEARCH("T",BM193)))</formula>
    </cfRule>
  </conditionalFormatting>
  <conditionalFormatting sqref="BO214:BO216">
    <cfRule type="containsText" dxfId="202" priority="5461" operator="containsText" text="17">
      <formula>NOT(ISERROR(SEARCH("17",BO214)))</formula>
    </cfRule>
    <cfRule type="containsText" dxfId="201" priority="5462" operator="containsText" text="T">
      <formula>NOT(ISERROR(SEARCH("T",BO214)))</formula>
    </cfRule>
  </conditionalFormatting>
  <conditionalFormatting sqref="BO214:BO223 BL224:BP230">
    <cfRule type="containsText" dxfId="200" priority="5196" operator="containsText" text="T">
      <formula>NOT(ISERROR(SEARCH("T",BL214)))</formula>
    </cfRule>
  </conditionalFormatting>
  <conditionalFormatting sqref="BO118:CA120">
    <cfRule type="containsText" dxfId="199" priority="559" operator="containsText" text="17">
      <formula>NOT(ISERROR(SEARCH("17",BO118)))</formula>
    </cfRule>
  </conditionalFormatting>
  <conditionalFormatting sqref="BP141">
    <cfRule type="containsText" dxfId="198" priority="1194" operator="containsText" text="17">
      <formula>NOT(ISERROR(SEARCH("17",BP141)))</formula>
    </cfRule>
    <cfRule type="containsText" dxfId="197" priority="1195" operator="containsText" text="T">
      <formula>NOT(ISERROR(SEARCH("T",BP141)))</formula>
    </cfRule>
  </conditionalFormatting>
  <conditionalFormatting sqref="BP145:BP148">
    <cfRule type="containsText" dxfId="196" priority="1234" operator="containsText" text="17">
      <formula>NOT(ISERROR(SEARCH("17",BP145)))</formula>
    </cfRule>
    <cfRule type="containsText" dxfId="195" priority="1235" operator="containsText" text="T">
      <formula>NOT(ISERROR(SEARCH("T",BP145)))</formula>
    </cfRule>
  </conditionalFormatting>
  <conditionalFormatting sqref="BP217:BP223 BQ224:BQ230 BR217:BU223">
    <cfRule type="containsText" dxfId="194" priority="5205" operator="containsText" text="17">
      <formula>NOT(ISERROR(SEARCH("17",BP217)))</formula>
    </cfRule>
  </conditionalFormatting>
  <conditionalFormatting sqref="BP217:BP223 BR217:BU223 BQ224:BQ230">
    <cfRule type="containsText" dxfId="193" priority="5206" operator="containsText" text="T">
      <formula>NOT(ISERROR(SEARCH("T",BP217)))</formula>
    </cfRule>
  </conditionalFormatting>
  <conditionalFormatting sqref="BP22:BQ22 BR22:BX27">
    <cfRule type="containsText" dxfId="192" priority="641" operator="containsText" text="T">
      <formula>NOT(ISERROR(SEARCH("T",BP22)))</formula>
    </cfRule>
  </conditionalFormatting>
  <conditionalFormatting sqref="BP22:BQ22">
    <cfRule type="containsText" dxfId="191" priority="640" operator="containsText" text="17">
      <formula>NOT(ISERROR(SEARCH("17",BP22)))</formula>
    </cfRule>
  </conditionalFormatting>
  <conditionalFormatting sqref="BP145:BQ148 BL145:BM148">
    <cfRule type="containsText" dxfId="190" priority="1236" operator="containsText" text="17">
      <formula>NOT(ISERROR(SEARCH("17",BL145)))</formula>
    </cfRule>
  </conditionalFormatting>
  <conditionalFormatting sqref="BP194:BT194 BM195:BS195 BO196:BT198">
    <cfRule type="containsText" dxfId="189" priority="496" operator="containsText" text="17">
      <formula>NOT(ISERROR(SEARCH("17",BM194)))</formula>
    </cfRule>
  </conditionalFormatting>
  <conditionalFormatting sqref="BP80:CB82">
    <cfRule type="containsText" dxfId="188" priority="593" operator="containsText" text="17">
      <formula>NOT(ISERROR(SEARCH("17",BP80)))</formula>
    </cfRule>
  </conditionalFormatting>
  <conditionalFormatting sqref="BP100:CB103">
    <cfRule type="containsText" dxfId="187" priority="576" operator="containsText" text="17">
      <formula>NOT(ISERROR(SEARCH("17",BP100)))</formula>
    </cfRule>
  </conditionalFormatting>
  <conditionalFormatting sqref="BP106:CB109">
    <cfRule type="containsText" dxfId="186" priority="571" operator="containsText" text="17">
      <formula>NOT(ISERROR(SEARCH("17",BP106)))</formula>
    </cfRule>
  </conditionalFormatting>
  <conditionalFormatting sqref="BP112:CB115">
    <cfRule type="containsText" dxfId="185" priority="565" operator="containsText" text="17">
      <formula>NOT(ISERROR(SEARCH("17",BP112)))</formula>
    </cfRule>
  </conditionalFormatting>
  <conditionalFormatting sqref="BQ214:BQ223">
    <cfRule type="containsText" dxfId="184" priority="5189" operator="containsText" text="17">
      <formula>NOT(ISERROR(SEARCH("17",BQ214)))</formula>
    </cfRule>
    <cfRule type="containsText" dxfId="183" priority="5190" operator="containsText" text="T">
      <formula>NOT(ISERROR(SEARCH("T",BQ214)))</formula>
    </cfRule>
  </conditionalFormatting>
  <conditionalFormatting sqref="BQ214:BU216">
    <cfRule type="containsText" dxfId="182" priority="5417" operator="containsText" text="17">
      <formula>NOT(ISERROR(SEARCH("17",BQ214)))</formula>
    </cfRule>
    <cfRule type="containsText" dxfId="181" priority="5418" operator="containsText" text="T">
      <formula>NOT(ISERROR(SEARCH("T",BQ214)))</formula>
    </cfRule>
  </conditionalFormatting>
  <conditionalFormatting sqref="BR155">
    <cfRule type="containsText" dxfId="180" priority="1020" operator="containsText" text="17">
      <formula>NOT(ISERROR(SEARCH("17",BR155)))</formula>
    </cfRule>
    <cfRule type="containsText" dxfId="179" priority="1021" operator="containsText" text="T">
      <formula>NOT(ISERROR(SEARCH("T",BR155)))</formula>
    </cfRule>
  </conditionalFormatting>
  <conditionalFormatting sqref="BR29:BS29 BT29:BZ33">
    <cfRule type="containsText" dxfId="178" priority="634" operator="containsText" text="17">
      <formula>NOT(ISERROR(SEARCH("17",BR29)))</formula>
    </cfRule>
    <cfRule type="containsText" dxfId="177" priority="635" operator="containsText" text="T">
      <formula>NOT(ISERROR(SEARCH("T",BR29)))</formula>
    </cfRule>
  </conditionalFormatting>
  <conditionalFormatting sqref="BR35:BS35 BT35:BZ39">
    <cfRule type="containsText" dxfId="176" priority="628" operator="containsText" text="17">
      <formula>NOT(ISERROR(SEARCH("17",BR35)))</formula>
    </cfRule>
    <cfRule type="containsText" dxfId="175" priority="629" operator="containsText" text="T">
      <formula>NOT(ISERROR(SEARCH("T",BR35)))</formula>
    </cfRule>
  </conditionalFormatting>
  <conditionalFormatting sqref="BR41:BS41 BT41:BZ45">
    <cfRule type="containsText" dxfId="174" priority="621" operator="containsText" text="17">
      <formula>NOT(ISERROR(SEARCH("17",BR41)))</formula>
    </cfRule>
    <cfRule type="containsText" dxfId="173" priority="622" operator="containsText" text="T">
      <formula>NOT(ISERROR(SEARCH("T",BR41)))</formula>
    </cfRule>
  </conditionalFormatting>
  <conditionalFormatting sqref="BR47:BS47 BU47:BY47">
    <cfRule type="containsText" dxfId="172" priority="616" operator="containsText" text="17">
      <formula>NOT(ISERROR(SEARCH("17",BR47)))</formula>
    </cfRule>
    <cfRule type="containsText" dxfId="171" priority="617" operator="containsText" text="T">
      <formula>NOT(ISERROR(SEARCH("T",BR47)))</formula>
    </cfRule>
  </conditionalFormatting>
  <conditionalFormatting sqref="BR50:BS50 BU50:BY50">
    <cfRule type="containsText" dxfId="170" priority="611" operator="containsText" text="17">
      <formula>NOT(ISERROR(SEARCH("17",BR50)))</formula>
    </cfRule>
    <cfRule type="containsText" dxfId="169" priority="612" operator="containsText" text="T">
      <formula>NOT(ISERROR(SEARCH("T",BR50)))</formula>
    </cfRule>
  </conditionalFormatting>
  <conditionalFormatting sqref="BR214:BV216">
    <cfRule type="containsText" dxfId="168" priority="5423" operator="containsText" text="17">
      <formula>NOT(ISERROR(SEARCH("17",BR214)))</formula>
    </cfRule>
    <cfRule type="containsText" dxfId="167" priority="5424" operator="containsText" text="T">
      <formula>NOT(ISERROR(SEARCH("T",BR214)))</formula>
    </cfRule>
  </conditionalFormatting>
  <conditionalFormatting sqref="BR217:BV230">
    <cfRule type="containsText" dxfId="166" priority="4887" operator="containsText" text="17">
      <formula>NOT(ISERROR(SEARCH("17",BR217)))</formula>
    </cfRule>
    <cfRule type="containsText" dxfId="165" priority="4888" operator="containsText" text="T">
      <formula>NOT(ISERROR(SEARCH("T",BR217)))</formula>
    </cfRule>
  </conditionalFormatting>
  <conditionalFormatting sqref="BR68:CD71 BQ74:CC77">
    <cfRule type="containsText" dxfId="164" priority="599" operator="containsText" text="17">
      <formula>NOT(ISERROR(SEARCH("17",BQ68)))</formula>
    </cfRule>
  </conditionalFormatting>
  <conditionalFormatting sqref="BS127 BC199 BB206 BA213">
    <cfRule type="containsText" dxfId="163" priority="1723" operator="containsText" text="T">
      <formula>NOT(ISERROR(SEARCH("T",BA127)))</formula>
    </cfRule>
  </conditionalFormatting>
  <conditionalFormatting sqref="BS127 BC199:BR199 BB206:BQ206 BA213:BP213">
    <cfRule type="containsText" dxfId="162" priority="4628" operator="containsText" text="T">
      <formula>NOT(ISERROR(SEARCH("T",BA127)))</formula>
    </cfRule>
  </conditionalFormatting>
  <conditionalFormatting sqref="BS154 AX180:AX181 AY182:AY185 BM191 BU200:BU202 BV203:BV205 BT207:BT209 BV207:BV209 BU210:BU212">
    <cfRule type="containsText" dxfId="161" priority="6895" operator="containsText" text="17">
      <formula>NOT(ISERROR(SEARCH("17",AX154)))</formula>
    </cfRule>
    <cfRule type="containsText" dxfId="160" priority="6896" operator="containsText" text="T">
      <formula>NOT(ISERROR(SEARCH("T",AX154)))</formula>
    </cfRule>
    <cfRule type="containsText" dxfId="159" priority="6897" operator="containsText" text="17">
      <formula>NOT(ISERROR(SEARCH("17",AX154)))</formula>
    </cfRule>
    <cfRule type="containsText" dxfId="158" priority="6898" operator="containsText" text="T">
      <formula>NOT(ISERROR(SEARCH("T",AX154)))</formula>
    </cfRule>
  </conditionalFormatting>
  <conditionalFormatting sqref="BS156:BS158">
    <cfRule type="containsText" dxfId="157" priority="1036" operator="containsText" text="17">
      <formula>NOT(ISERROR(SEARCH("17",BS156)))</formula>
    </cfRule>
    <cfRule type="containsText" dxfId="156" priority="1037" operator="containsText" text="T">
      <formula>NOT(ISERROR(SEARCH("T",BS156)))</formula>
    </cfRule>
    <cfRule type="containsText" dxfId="155" priority="1038" operator="containsText" text="17">
      <formula>NOT(ISERROR(SEARCH("17",BS156)))</formula>
    </cfRule>
    <cfRule type="containsText" dxfId="154" priority="1039" operator="containsText" text="T">
      <formula>NOT(ISERROR(SEARCH("T",BS156)))</formula>
    </cfRule>
  </conditionalFormatting>
  <conditionalFormatting sqref="BS162">
    <cfRule type="containsText" dxfId="153" priority="1010" operator="containsText" text="17">
      <formula>NOT(ISERROR(SEARCH("17",BS162)))</formula>
    </cfRule>
    <cfRule type="containsText" dxfId="152" priority="1011" operator="containsText" text="T">
      <formula>NOT(ISERROR(SEARCH("T",BS162)))</formula>
    </cfRule>
  </conditionalFormatting>
  <conditionalFormatting sqref="BS199:BT199 BR206:BS206 BQ213:BR213">
    <cfRule type="containsText" dxfId="147" priority="1726" operator="containsText" text="17">
      <formula>NOT(ISERROR(SEARCH("17",BQ199)))</formula>
    </cfRule>
    <cfRule type="containsText" dxfId="146" priority="1727" operator="containsText" text="T">
      <formula>NOT(ISERROR(SEARCH("T",BQ199)))</formula>
    </cfRule>
  </conditionalFormatting>
  <conditionalFormatting sqref="BT47:BT48 BZ47:BZ48 BU48:BY48 BT50:BT52 BZ50:BZ52 BU51:BY52 BP15:BP20 BV15:BV20 BQ16:BU20">
    <cfRule type="containsText" dxfId="145" priority="8137" operator="containsText" text="T">
      <formula>NOT(ISERROR(SEARCH("T",BP15)))</formula>
    </cfRule>
  </conditionalFormatting>
  <conditionalFormatting sqref="BT47:BT48 BZ47:BZ48 BU48:BY48 BT50:BT52 BZ50:BZ52 BU51:BY52">
    <cfRule type="containsText" dxfId="144" priority="8136" operator="containsText" text="17">
      <formula>NOT(ISERROR(SEARCH("17",BT47)))</formula>
    </cfRule>
  </conditionalFormatting>
  <conditionalFormatting sqref="BT145:BT148">
    <cfRule type="containsText" dxfId="143" priority="1166" operator="containsText" text="17">
      <formula>NOT(ISERROR(SEARCH("17",BT145)))</formula>
    </cfRule>
    <cfRule type="containsText" dxfId="142" priority="1167" operator="containsText" text="T">
      <formula>NOT(ISERROR(SEARCH("T",BT145)))</formula>
    </cfRule>
  </conditionalFormatting>
  <conditionalFormatting sqref="BT139:CQ144">
    <cfRule type="containsText" dxfId="141" priority="542" operator="containsText" text="17">
      <formula>NOT(ISERROR(SEARCH("17",BT139)))</formula>
    </cfRule>
  </conditionalFormatting>
  <conditionalFormatting sqref="BT153:CQ158">
    <cfRule type="containsText" dxfId="140" priority="529" operator="containsText" text="17">
      <formula>NOT(ISERROR(SEARCH("17",BT153)))</formula>
    </cfRule>
  </conditionalFormatting>
  <conditionalFormatting sqref="BT160:CQ165">
    <cfRule type="containsText" dxfId="139" priority="528" operator="containsText" text="T">
      <formula>NOT(ISERROR(SEARCH("T",BT160)))</formula>
    </cfRule>
  </conditionalFormatting>
  <conditionalFormatting sqref="BU200:BU202 BT207:BT209 AX210:BS211">
    <cfRule type="containsText" dxfId="138" priority="8097" operator="containsText" text="T">
      <formula>NOT(ISERROR(SEARCH("T",AX200)))</formula>
    </cfRule>
  </conditionalFormatting>
  <conditionalFormatting sqref="BU200:BU202 BT207:BT209 AY190 AX191:BH191 BK191 BO191:BS191">
    <cfRule type="containsText" dxfId="137" priority="8090" operator="containsText" text="17">
      <formula>NOT(ISERROR(SEARCH("17",AX190)))</formula>
    </cfRule>
  </conditionalFormatting>
  <conditionalFormatting sqref="BU206 BT213 BV199">
    <cfRule type="containsText" dxfId="136" priority="1724" operator="containsText" text="17">
      <formula>NOT(ISERROR(SEARCH("17",BT199)))</formula>
    </cfRule>
  </conditionalFormatting>
  <conditionalFormatting sqref="BU146:CR151 BT160:CQ165">
    <cfRule type="containsText" dxfId="135" priority="7944" operator="containsText" text="17">
      <formula>NOT(ISERROR(SEARCH("17",BT146)))</formula>
    </cfRule>
  </conditionalFormatting>
  <conditionalFormatting sqref="BU146:CR151">
    <cfRule type="containsText" dxfId="134" priority="541" operator="containsText" text="T">
      <formula>NOT(ISERROR(SEARCH("T",BU146)))</formula>
    </cfRule>
  </conditionalFormatting>
  <conditionalFormatting sqref="BV199 BU206 BT213">
    <cfRule type="containsText" dxfId="133" priority="1725" operator="containsText" text="T">
      <formula>NOT(ISERROR(SEARCH("T",BT199)))</formula>
    </cfRule>
  </conditionalFormatting>
  <conditionalFormatting sqref="BV213">
    <cfRule type="containsText" dxfId="132" priority="4617" operator="containsText" text="17">
      <formula>NOT(ISERROR(SEARCH("17",BV213)))</formula>
    </cfRule>
    <cfRule type="containsText" dxfId="131" priority="4618" operator="containsText" text="T">
      <formula>NOT(ISERROR(SEARCH("T",BV213)))</formula>
    </cfRule>
  </conditionalFormatting>
  <conditionalFormatting sqref="BV214:BV216">
    <cfRule type="containsText" dxfId="130" priority="5425" operator="containsText" text="17">
      <formula>NOT(ISERROR(SEARCH("17",BV214)))</formula>
    </cfRule>
    <cfRule type="containsText" dxfId="129" priority="5426" operator="containsText" text="T">
      <formula>NOT(ISERROR(SEARCH("T",BV214)))</formula>
    </cfRule>
  </conditionalFormatting>
  <conditionalFormatting sqref="BV84:BW84 BX84:CD89">
    <cfRule type="containsText" dxfId="128" priority="589" operator="containsText" text="T">
      <formula>NOT(ISERROR(SEARCH("T",BV84)))</formula>
    </cfRule>
  </conditionalFormatting>
  <conditionalFormatting sqref="BV84:BW84">
    <cfRule type="containsText" dxfId="127" priority="588" operator="containsText" text="17">
      <formula>NOT(ISERROR(SEARCH("17",BV84)))</formula>
    </cfRule>
  </conditionalFormatting>
  <conditionalFormatting sqref="BV133:CH137">
    <cfRule type="containsText" dxfId="126" priority="548" operator="containsText" text="17">
      <formula>NOT(ISERROR(SEARCH("17",BV133)))</formula>
    </cfRule>
  </conditionalFormatting>
  <conditionalFormatting sqref="BW160:CG165">
    <cfRule type="containsText" dxfId="125" priority="526" operator="containsText" text="17">
      <formula>NOT(ISERROR(SEARCH("17",BW160)))</formula>
    </cfRule>
  </conditionalFormatting>
  <conditionalFormatting sqref="BW140:CI144">
    <cfRule type="containsText" dxfId="124" priority="543" operator="containsText" text="17">
      <formula>NOT(ISERROR(SEARCH("17",BW140)))</formula>
    </cfRule>
  </conditionalFormatting>
  <conditionalFormatting sqref="BW154:CI158">
    <cfRule type="containsText" dxfId="123" priority="530" operator="containsText" text="17">
      <formula>NOT(ISERROR(SEARCH("17",BW154)))</formula>
    </cfRule>
  </conditionalFormatting>
  <conditionalFormatting sqref="BW161:CI165">
    <cfRule type="containsText" dxfId="122" priority="523" operator="containsText" text="17">
      <formula>NOT(ISERROR(SEARCH("17",BW161)))</formula>
    </cfRule>
  </conditionalFormatting>
  <conditionalFormatting sqref="BX91:BY91 BZ91:CF96">
    <cfRule type="containsText" dxfId="121" priority="582" operator="containsText" text="17">
      <formula>NOT(ISERROR(SEARCH("17",BX91)))</formula>
    </cfRule>
    <cfRule type="containsText" dxfId="120" priority="583" operator="containsText" text="T">
      <formula>NOT(ISERROR(SEARCH("T",BX91)))</formula>
    </cfRule>
  </conditionalFormatting>
  <conditionalFormatting sqref="BX146:CH151">
    <cfRule type="containsText" dxfId="119" priority="539" operator="containsText" text="17">
      <formula>NOT(ISERROR(SEARCH("17",BX146)))</formula>
    </cfRule>
  </conditionalFormatting>
  <conditionalFormatting sqref="BX147:CJ151">
    <cfRule type="containsText" dxfId="118" priority="536" operator="containsText" text="17">
      <formula>NOT(ISERROR(SEARCH("17",BX147)))</formula>
    </cfRule>
  </conditionalFormatting>
  <conditionalFormatting sqref="BY122:BZ122 CA122:CG126">
    <cfRule type="containsText" dxfId="117" priority="554" operator="containsText" text="17">
      <formula>NOT(ISERROR(SEARCH("17",BY122)))</formula>
    </cfRule>
    <cfRule type="containsText" dxfId="116" priority="555" operator="containsText" text="T">
      <formula>NOT(ISERROR(SEARCH("T",BY122)))</formula>
    </cfRule>
  </conditionalFormatting>
  <conditionalFormatting sqref="BZ117:CA117 CB117:CH120">
    <cfRule type="containsText" dxfId="115" priority="561" operator="containsText" text="T">
      <formula>NOT(ISERROR(SEARCH("T",BZ117)))</formula>
    </cfRule>
  </conditionalFormatting>
  <conditionalFormatting sqref="BZ117:CA117">
    <cfRule type="containsText" dxfId="114" priority="560" operator="containsText" text="17">
      <formula>NOT(ISERROR(SEARCH("17",BZ117)))</formula>
    </cfRule>
  </conditionalFormatting>
  <conditionalFormatting sqref="CA79:CB79 CC79:CH82">
    <cfRule type="containsText" dxfId="113" priority="595" operator="containsText" text="T">
      <formula>NOT(ISERROR(SEARCH("T",CA79)))</formula>
    </cfRule>
  </conditionalFormatting>
  <conditionalFormatting sqref="CA79:CB79">
    <cfRule type="containsText" dxfId="112" priority="594" operator="containsText" text="17">
      <formula>NOT(ISERROR(SEARCH("17",CA79)))</formula>
    </cfRule>
  </conditionalFormatting>
  <conditionalFormatting sqref="CA99:CB99 CC99:CI103">
    <cfRule type="containsText" dxfId="111" priority="577" operator="containsText" text="17">
      <formula>NOT(ISERROR(SEARCH("17",CA99)))</formula>
    </cfRule>
    <cfRule type="containsText" dxfId="110" priority="578" operator="containsText" text="T">
      <formula>NOT(ISERROR(SEARCH("T",CA99)))</formula>
    </cfRule>
  </conditionalFormatting>
  <conditionalFormatting sqref="CA105:CB105 CC105:CI109">
    <cfRule type="containsText" dxfId="109" priority="573" operator="containsText" text="T">
      <formula>NOT(ISERROR(SEARCH("T",CA105)))</formula>
    </cfRule>
  </conditionalFormatting>
  <conditionalFormatting sqref="CA105:CB105">
    <cfRule type="containsText" dxfId="108" priority="572" operator="containsText" text="17">
      <formula>NOT(ISERROR(SEARCH("17",CA105)))</formula>
    </cfRule>
  </conditionalFormatting>
  <conditionalFormatting sqref="CA111:CB111 CC111:CI115">
    <cfRule type="containsText" dxfId="107" priority="567" operator="containsText" text="T">
      <formula>NOT(ISERROR(SEARCH("T",CA111)))</formula>
    </cfRule>
  </conditionalFormatting>
  <conditionalFormatting sqref="CA111:CB111">
    <cfRule type="containsText" dxfId="106" priority="566" operator="containsText" text="17">
      <formula>NOT(ISERROR(SEARCH("17",CA111)))</formula>
    </cfRule>
  </conditionalFormatting>
  <conditionalFormatting sqref="CC67:CD67 CE67:CK71 CB73:CC73 CD73:CJ77">
    <cfRule type="containsText" dxfId="105" priority="601" operator="containsText" text="T">
      <formula>NOT(ISERROR(SEARCH("T",CB67)))</formula>
    </cfRule>
  </conditionalFormatting>
  <conditionalFormatting sqref="CC67:CD67 CE67:CK71 CB73:CC73">
    <cfRule type="containsText" dxfId="104" priority="600" operator="containsText" text="17">
      <formula>NOT(ISERROR(SEARCH("17",CB67)))</formula>
    </cfRule>
  </conditionalFormatting>
  <conditionalFormatting sqref="CG132:CH132 CI132:CO137">
    <cfRule type="containsText" dxfId="103" priority="549" operator="containsText" text="17">
      <formula>NOT(ISERROR(SEARCH("17",CG132)))</formula>
    </cfRule>
    <cfRule type="containsText" dxfId="102" priority="550" operator="containsText" text="T">
      <formula>NOT(ISERROR(SEARCH("T",CG132)))</formula>
    </cfRule>
  </conditionalFormatting>
  <conditionalFormatting sqref="BT139:CQ144">
    <cfRule type="containsText" dxfId="101" priority="545" operator="containsText" text="T">
      <formula>NOT(ISERROR(SEARCH("T",BT139)))</formula>
    </cfRule>
  </conditionalFormatting>
  <conditionalFormatting sqref="CH139:CI139">
    <cfRule type="containsText" dxfId="100" priority="544" operator="containsText" text="17">
      <formula>NOT(ISERROR(SEARCH("17",CH139)))</formula>
    </cfRule>
  </conditionalFormatting>
  <conditionalFormatting sqref="BT153:CQ158">
    <cfRule type="containsText" dxfId="99" priority="532" operator="containsText" text="T">
      <formula>NOT(ISERROR(SEARCH("T",BT153)))</formula>
    </cfRule>
  </conditionalFormatting>
  <conditionalFormatting sqref="CH153:CI153">
    <cfRule type="containsText" dxfId="98" priority="531" operator="containsText" text="17">
      <formula>NOT(ISERROR(SEARCH("17",CH153)))</formula>
    </cfRule>
  </conditionalFormatting>
  <conditionalFormatting sqref="CH160:CI160 CJ160:CP165">
    <cfRule type="containsText" dxfId="97" priority="524" operator="containsText" text="17">
      <formula>NOT(ISERROR(SEARCH("17",CH160)))</formula>
    </cfRule>
  </conditionalFormatting>
  <conditionalFormatting sqref="CH160:CI160 CK160:CO165">
    <cfRule type="containsText" dxfId="96" priority="525" operator="containsText" text="T">
      <formula>NOT(ISERROR(SEARCH("T",CH160)))</formula>
    </cfRule>
  </conditionalFormatting>
  <conditionalFormatting sqref="CI79:CI84 CF83:CH84">
    <cfRule type="containsText" dxfId="95" priority="597" operator="containsText" text="T">
      <formula>NOT(ISERROR(SEARCH("T",CF79)))</formula>
    </cfRule>
  </conditionalFormatting>
  <conditionalFormatting sqref="CI79:CI84">
    <cfRule type="containsText" dxfId="94" priority="596" operator="containsText" text="17">
      <formula>NOT(ISERROR(SEARCH("17",CI79)))</formula>
    </cfRule>
  </conditionalFormatting>
  <conditionalFormatting sqref="CI146:CJ146 CK146:CQ151">
    <cfRule type="containsText" dxfId="93" priority="537" operator="containsText" text="17">
      <formula>NOT(ISERROR(SEARCH("17",CI146)))</formula>
    </cfRule>
  </conditionalFormatting>
  <conditionalFormatting sqref="CI146:CJ146 CL146:CP151">
    <cfRule type="containsText" dxfId="92" priority="538" operator="containsText" text="T">
      <formula>NOT(ISERROR(SEARCH("T",CI146)))</formula>
    </cfRule>
  </conditionalFormatting>
  <conditionalFormatting sqref="AK218:AU224">
    <cfRule type="containsText" dxfId="91" priority="77" operator="containsText" text="T">
      <formula>NOT(ISERROR(SEARCH("T",AK218)))</formula>
    </cfRule>
  </conditionalFormatting>
  <conditionalFormatting sqref="AK218:AS224">
    <cfRule type="containsText" dxfId="90" priority="83" operator="containsText" text="17">
      <formula>NOT(ISERROR(SEARCH("17",AK218)))</formula>
    </cfRule>
  </conditionalFormatting>
  <conditionalFormatting sqref="AK218:AU224">
    <cfRule type="containsText" dxfId="89" priority="76" operator="containsText" text="17">
      <formula>NOT(ISERROR(SEARCH("17",AK218)))</formula>
    </cfRule>
  </conditionalFormatting>
  <conditionalFormatting sqref="AV218:BB224">
    <cfRule type="containsText" dxfId="88" priority="84" operator="containsText" text="17">
      <formula>NOT(ISERROR(SEARCH("17",AV218)))</formula>
    </cfRule>
    <cfRule type="containsText" dxfId="87" priority="85" operator="containsText" text="T">
      <formula>NOT(ISERROR(SEARCH("T",AV218)))</formula>
    </cfRule>
  </conditionalFormatting>
  <conditionalFormatting sqref="AW218:AW224">
    <cfRule type="containsText" dxfId="86" priority="81" operator="containsText" text="17">
      <formula>NOT(ISERROR(SEARCH("17",AW218)))</formula>
    </cfRule>
    <cfRule type="containsText" dxfId="85" priority="82" operator="containsText" text="T">
      <formula>NOT(ISERROR(SEARCH("T",AW218)))</formula>
    </cfRule>
  </conditionalFormatting>
  <conditionalFormatting sqref="BB218:BB224 BF218:BH224">
    <cfRule type="containsText" dxfId="84" priority="78" operator="containsText" text="T">
      <formula>NOT(ISERROR(SEARCH("T",BB218)))</formula>
    </cfRule>
  </conditionalFormatting>
  <conditionalFormatting sqref="BB218:BC224 BF218:BH224">
    <cfRule type="containsText" dxfId="83" priority="79" operator="containsText" text="17">
      <formula>NOT(ISERROR(SEARCH("17",BB218)))</formula>
    </cfRule>
  </conditionalFormatting>
  <conditionalFormatting sqref="BC218:BC224">
    <cfRule type="containsText" dxfId="82" priority="80" operator="containsText" text="T">
      <formula>NOT(ISERROR(SEARCH("T",BC218)))</formula>
    </cfRule>
  </conditionalFormatting>
  <conditionalFormatting sqref="AL225:AV231">
    <cfRule type="containsText" dxfId="81" priority="67" operator="containsText" text="T">
      <formula>NOT(ISERROR(SEARCH("T",AL225)))</formula>
    </cfRule>
  </conditionalFormatting>
  <conditionalFormatting sqref="AL225:AT231">
    <cfRule type="containsText" dxfId="80" priority="73" operator="containsText" text="17">
      <formula>NOT(ISERROR(SEARCH("17",AL225)))</formula>
    </cfRule>
  </conditionalFormatting>
  <conditionalFormatting sqref="AL225:AV231">
    <cfRule type="containsText" dxfId="79" priority="66" operator="containsText" text="17">
      <formula>NOT(ISERROR(SEARCH("17",AL225)))</formula>
    </cfRule>
  </conditionalFormatting>
  <conditionalFormatting sqref="AW225:BC231">
    <cfRule type="containsText" dxfId="78" priority="74" operator="containsText" text="17">
      <formula>NOT(ISERROR(SEARCH("17",AW225)))</formula>
    </cfRule>
    <cfRule type="containsText" dxfId="77" priority="75" operator="containsText" text="T">
      <formula>NOT(ISERROR(SEARCH("T",AW225)))</formula>
    </cfRule>
  </conditionalFormatting>
  <conditionalFormatting sqref="AX225:AX231">
    <cfRule type="containsText" dxfId="76" priority="71" operator="containsText" text="17">
      <formula>NOT(ISERROR(SEARCH("17",AX225)))</formula>
    </cfRule>
    <cfRule type="containsText" dxfId="75" priority="72" operator="containsText" text="T">
      <formula>NOT(ISERROR(SEARCH("T",AX225)))</formula>
    </cfRule>
  </conditionalFormatting>
  <conditionalFormatting sqref="BC225:BC231 BG225:BI231">
    <cfRule type="containsText" dxfId="74" priority="68" operator="containsText" text="T">
      <formula>NOT(ISERROR(SEARCH("T",BC225)))</formula>
    </cfRule>
  </conditionalFormatting>
  <conditionalFormatting sqref="BC225:BD231 BG225:BI231">
    <cfRule type="containsText" dxfId="73" priority="69" operator="containsText" text="17">
      <formula>NOT(ISERROR(SEARCH("17",BC225)))</formula>
    </cfRule>
  </conditionalFormatting>
  <conditionalFormatting sqref="BD225:BD231">
    <cfRule type="containsText" dxfId="72" priority="70" operator="containsText" text="T">
      <formula>NOT(ISERROR(SEARCH("T",BD225)))</formula>
    </cfRule>
  </conditionalFormatting>
  <conditionalFormatting sqref="AM232:AW234">
    <cfRule type="containsText" dxfId="71" priority="57" operator="containsText" text="T">
      <formula>NOT(ISERROR(SEARCH("T",AM232)))</formula>
    </cfRule>
  </conditionalFormatting>
  <conditionalFormatting sqref="AM232:AU234">
    <cfRule type="containsText" dxfId="70" priority="63" operator="containsText" text="17">
      <formula>NOT(ISERROR(SEARCH("17",AM232)))</formula>
    </cfRule>
  </conditionalFormatting>
  <conditionalFormatting sqref="AM232:AW234">
    <cfRule type="containsText" dxfId="69" priority="56" operator="containsText" text="17">
      <formula>NOT(ISERROR(SEARCH("17",AM232)))</formula>
    </cfRule>
  </conditionalFormatting>
  <conditionalFormatting sqref="AX232:BD234">
    <cfRule type="containsText" dxfId="68" priority="64" operator="containsText" text="17">
      <formula>NOT(ISERROR(SEARCH("17",AX232)))</formula>
    </cfRule>
    <cfRule type="containsText" dxfId="67" priority="65" operator="containsText" text="T">
      <formula>NOT(ISERROR(SEARCH("T",AX232)))</formula>
    </cfRule>
  </conditionalFormatting>
  <conditionalFormatting sqref="AY232:AY234">
    <cfRule type="containsText" dxfId="66" priority="61" operator="containsText" text="17">
      <formula>NOT(ISERROR(SEARCH("17",AY232)))</formula>
    </cfRule>
    <cfRule type="containsText" dxfId="65" priority="62" operator="containsText" text="T">
      <formula>NOT(ISERROR(SEARCH("T",AY232)))</formula>
    </cfRule>
  </conditionalFormatting>
  <conditionalFormatting sqref="BD232:BD234 BH232:BJ234">
    <cfRule type="containsText" dxfId="64" priority="58" operator="containsText" text="T">
      <formula>NOT(ISERROR(SEARCH("T",BD232)))</formula>
    </cfRule>
  </conditionalFormatting>
  <conditionalFormatting sqref="BD232:BE234 BH232:BJ234">
    <cfRule type="containsText" dxfId="63" priority="59" operator="containsText" text="17">
      <formula>NOT(ISERROR(SEARCH("17",BD232)))</formula>
    </cfRule>
  </conditionalFormatting>
  <conditionalFormatting sqref="BE232:BE234">
    <cfRule type="containsText" dxfId="62" priority="60" operator="containsText" text="T">
      <formula>NOT(ISERROR(SEARCH("T",BE232)))</formula>
    </cfRule>
  </conditionalFormatting>
  <conditionalFormatting sqref="AM113:AW116">
    <cfRule type="containsText" dxfId="61" priority="47" operator="containsText" text="T">
      <formula>NOT(ISERROR(SEARCH("T",AM113)))</formula>
    </cfRule>
  </conditionalFormatting>
  <conditionalFormatting sqref="AM113:AU116">
    <cfRule type="containsText" dxfId="60" priority="53" operator="containsText" text="17">
      <formula>NOT(ISERROR(SEARCH("17",AM113)))</formula>
    </cfRule>
  </conditionalFormatting>
  <conditionalFormatting sqref="AM113:AW116">
    <cfRule type="containsText" dxfId="59" priority="46" operator="containsText" text="17">
      <formula>NOT(ISERROR(SEARCH("17",AM113)))</formula>
    </cfRule>
  </conditionalFormatting>
  <conditionalFormatting sqref="AX113:BD116">
    <cfRule type="containsText" dxfId="58" priority="54" operator="containsText" text="17">
      <formula>NOT(ISERROR(SEARCH("17",AX113)))</formula>
    </cfRule>
    <cfRule type="containsText" dxfId="57" priority="55" operator="containsText" text="T">
      <formula>NOT(ISERROR(SEARCH("T",AX113)))</formula>
    </cfRule>
  </conditionalFormatting>
  <conditionalFormatting sqref="AY113:AY116">
    <cfRule type="containsText" dxfId="56" priority="51" operator="containsText" text="17">
      <formula>NOT(ISERROR(SEARCH("17",AY113)))</formula>
    </cfRule>
    <cfRule type="containsText" dxfId="55" priority="52" operator="containsText" text="T">
      <formula>NOT(ISERROR(SEARCH("T",AY113)))</formula>
    </cfRule>
  </conditionalFormatting>
  <conditionalFormatting sqref="BD113:BD116 BH113:BJ116">
    <cfRule type="containsText" dxfId="54" priority="48" operator="containsText" text="T">
      <formula>NOT(ISERROR(SEARCH("T",BD113)))</formula>
    </cfRule>
  </conditionalFormatting>
  <conditionalFormatting sqref="BD113:BE116 BH113:BJ116">
    <cfRule type="containsText" dxfId="53" priority="49" operator="containsText" text="17">
      <formula>NOT(ISERROR(SEARCH("17",BD113)))</formula>
    </cfRule>
  </conditionalFormatting>
  <conditionalFormatting sqref="BE113:BE116">
    <cfRule type="containsText" dxfId="52" priority="50" operator="containsText" text="T">
      <formula>NOT(ISERROR(SEARCH("T",BE113)))</formula>
    </cfRule>
  </conditionalFormatting>
  <conditionalFormatting sqref="AN117:AX119">
    <cfRule type="containsText" dxfId="51" priority="37" operator="containsText" text="T">
      <formula>NOT(ISERROR(SEARCH("T",AN117)))</formula>
    </cfRule>
  </conditionalFormatting>
  <conditionalFormatting sqref="AN117:AV119">
    <cfRule type="containsText" dxfId="50" priority="43" operator="containsText" text="17">
      <formula>NOT(ISERROR(SEARCH("17",AN117)))</formula>
    </cfRule>
  </conditionalFormatting>
  <conditionalFormatting sqref="AN117:AX119">
    <cfRule type="containsText" dxfId="49" priority="36" operator="containsText" text="17">
      <formula>NOT(ISERROR(SEARCH("17",AN117)))</formula>
    </cfRule>
  </conditionalFormatting>
  <conditionalFormatting sqref="AY117:BE119">
    <cfRule type="containsText" dxfId="48" priority="44" operator="containsText" text="17">
      <formula>NOT(ISERROR(SEARCH("17",AY117)))</formula>
    </cfRule>
    <cfRule type="containsText" dxfId="47" priority="45" operator="containsText" text="T">
      <formula>NOT(ISERROR(SEARCH("T",AY117)))</formula>
    </cfRule>
  </conditionalFormatting>
  <conditionalFormatting sqref="AZ117:AZ119">
    <cfRule type="containsText" dxfId="46" priority="41" operator="containsText" text="17">
      <formula>NOT(ISERROR(SEARCH("17",AZ117)))</formula>
    </cfRule>
    <cfRule type="containsText" dxfId="45" priority="42" operator="containsText" text="T">
      <formula>NOT(ISERROR(SEARCH("T",AZ117)))</formula>
    </cfRule>
  </conditionalFormatting>
  <conditionalFormatting sqref="BE117:BE119 BI117:BK119">
    <cfRule type="containsText" dxfId="44" priority="38" operator="containsText" text="T">
      <formula>NOT(ISERROR(SEARCH("T",BE117)))</formula>
    </cfRule>
  </conditionalFormatting>
  <conditionalFormatting sqref="BE117:BF119 BI117:BK119">
    <cfRule type="containsText" dxfId="43" priority="39" operator="containsText" text="17">
      <formula>NOT(ISERROR(SEARCH("17",BE117)))</formula>
    </cfRule>
  </conditionalFormatting>
  <conditionalFormatting sqref="BF117:BF119">
    <cfRule type="containsText" dxfId="42" priority="40" operator="containsText" text="T">
      <formula>NOT(ISERROR(SEARCH("T",BF117)))</formula>
    </cfRule>
  </conditionalFormatting>
  <conditionalFormatting sqref="AN79:AX82">
    <cfRule type="containsText" dxfId="41" priority="27" operator="containsText" text="T">
      <formula>NOT(ISERROR(SEARCH("T",AN79)))</formula>
    </cfRule>
  </conditionalFormatting>
  <conditionalFormatting sqref="AN79:AV82">
    <cfRule type="containsText" dxfId="40" priority="33" operator="containsText" text="17">
      <formula>NOT(ISERROR(SEARCH("17",AN79)))</formula>
    </cfRule>
  </conditionalFormatting>
  <conditionalFormatting sqref="AN79:AX82">
    <cfRule type="containsText" dxfId="39" priority="26" operator="containsText" text="17">
      <formula>NOT(ISERROR(SEARCH("17",AN79)))</formula>
    </cfRule>
  </conditionalFormatting>
  <conditionalFormatting sqref="AY79:BE82">
    <cfRule type="containsText" dxfId="38" priority="34" operator="containsText" text="17">
      <formula>NOT(ISERROR(SEARCH("17",AY79)))</formula>
    </cfRule>
    <cfRule type="containsText" dxfId="37" priority="35" operator="containsText" text="T">
      <formula>NOT(ISERROR(SEARCH("T",AY79)))</formula>
    </cfRule>
  </conditionalFormatting>
  <conditionalFormatting sqref="AZ79:AZ82">
    <cfRule type="containsText" dxfId="36" priority="31" operator="containsText" text="17">
      <formula>NOT(ISERROR(SEARCH("17",AZ79)))</formula>
    </cfRule>
    <cfRule type="containsText" dxfId="35" priority="32" operator="containsText" text="T">
      <formula>NOT(ISERROR(SEARCH("T",AZ79)))</formula>
    </cfRule>
  </conditionalFormatting>
  <conditionalFormatting sqref="BE79:BE82 BI79:BK82">
    <cfRule type="containsText" dxfId="34" priority="28" operator="containsText" text="T">
      <formula>NOT(ISERROR(SEARCH("T",BE79)))</formula>
    </cfRule>
  </conditionalFormatting>
  <conditionalFormatting sqref="BE79:BF82 BI79:BK82">
    <cfRule type="containsText" dxfId="33" priority="29" operator="containsText" text="17">
      <formula>NOT(ISERROR(SEARCH("17",BE79)))</formula>
    </cfRule>
  </conditionalFormatting>
  <conditionalFormatting sqref="BF79:BF82">
    <cfRule type="containsText" dxfId="32" priority="30" operator="containsText" text="T">
      <formula>NOT(ISERROR(SEARCH("T",BF79)))</formula>
    </cfRule>
  </conditionalFormatting>
  <conditionalFormatting sqref="M120:M126">
    <cfRule type="containsText" dxfId="31" priority="24" operator="containsText" text="T">
      <formula>NOT(ISERROR(SEARCH("T",M120)))</formula>
    </cfRule>
  </conditionalFormatting>
  <conditionalFormatting sqref="M120:AG126">
    <cfRule type="containsText" dxfId="30" priority="23" operator="containsText" text="17">
      <formula>NOT(ISERROR(SEARCH("17",M120)))</formula>
    </cfRule>
  </conditionalFormatting>
  <conditionalFormatting sqref="M120:AG126 AJ120:AJ126">
    <cfRule type="containsText" dxfId="29" priority="21" operator="containsText" text="T">
      <formula>NOT(ISERROR(SEARCH("T",M120)))</formula>
    </cfRule>
  </conditionalFormatting>
  <conditionalFormatting sqref="AJ120:AJ126">
    <cfRule type="containsText" dxfId="28" priority="22" operator="containsText" text="17">
      <formula>NOT(ISERROR(SEARCH("17",AJ120)))</formula>
    </cfRule>
  </conditionalFormatting>
  <conditionalFormatting sqref="AJ120:AJ126">
    <cfRule type="containsText" dxfId="27" priority="25" operator="containsText" text="T">
      <formula>NOT(ISERROR(SEARCH("T",AJ120)))</formula>
    </cfRule>
  </conditionalFormatting>
  <conditionalFormatting sqref="AP107:AZ112">
    <cfRule type="containsText" dxfId="19" priority="12" operator="containsText" text="T">
      <formula>NOT(ISERROR(SEARCH("T",AP107)))</formula>
    </cfRule>
  </conditionalFormatting>
  <conditionalFormatting sqref="AP107:AX112">
    <cfRule type="containsText" dxfId="18" priority="18" operator="containsText" text="17">
      <formula>NOT(ISERROR(SEARCH("17",AP107)))</formula>
    </cfRule>
  </conditionalFormatting>
  <conditionalFormatting sqref="AP107:AZ112">
    <cfRule type="containsText" dxfId="17" priority="11" operator="containsText" text="17">
      <formula>NOT(ISERROR(SEARCH("17",AP107)))</formula>
    </cfRule>
  </conditionalFormatting>
  <conditionalFormatting sqref="BA107:BG112">
    <cfRule type="containsText" dxfId="16" priority="19" operator="containsText" text="17">
      <formula>NOT(ISERROR(SEARCH("17",BA107)))</formula>
    </cfRule>
    <cfRule type="containsText" dxfId="15" priority="20" operator="containsText" text="T">
      <formula>NOT(ISERROR(SEARCH("T",BA107)))</formula>
    </cfRule>
  </conditionalFormatting>
  <conditionalFormatting sqref="BB107:BB112">
    <cfRule type="containsText" dxfId="14" priority="16" operator="containsText" text="17">
      <formula>NOT(ISERROR(SEARCH("17",BB107)))</formula>
    </cfRule>
    <cfRule type="containsText" dxfId="13" priority="17" operator="containsText" text="T">
      <formula>NOT(ISERROR(SEARCH("T",BB107)))</formula>
    </cfRule>
  </conditionalFormatting>
  <conditionalFormatting sqref="BG107:BG112 BK107:BM112">
    <cfRule type="containsText" dxfId="12" priority="13" operator="containsText" text="T">
      <formula>NOT(ISERROR(SEARCH("T",BG107)))</formula>
    </cfRule>
  </conditionalFormatting>
  <conditionalFormatting sqref="BG107:BH112 BK107:BM112">
    <cfRule type="containsText" dxfId="11" priority="14" operator="containsText" text="17">
      <formula>NOT(ISERROR(SEARCH("17",BG107)))</formula>
    </cfRule>
  </conditionalFormatting>
  <conditionalFormatting sqref="BH107:BH112">
    <cfRule type="containsText" dxfId="10" priority="15" operator="containsText" text="T">
      <formula>NOT(ISERROR(SEARCH("T",BH107)))</formula>
    </cfRule>
  </conditionalFormatting>
  <conditionalFormatting sqref="AP76:AZ78">
    <cfRule type="containsText" dxfId="9" priority="2" operator="containsText" text="T">
      <formula>NOT(ISERROR(SEARCH("T",AP76)))</formula>
    </cfRule>
  </conditionalFormatting>
  <conditionalFormatting sqref="AP76:AX78">
    <cfRule type="containsText" dxfId="8" priority="8" operator="containsText" text="17">
      <formula>NOT(ISERROR(SEARCH("17",AP76)))</formula>
    </cfRule>
  </conditionalFormatting>
  <conditionalFormatting sqref="AP76:AZ78">
    <cfRule type="containsText" dxfId="7" priority="1" operator="containsText" text="17">
      <formula>NOT(ISERROR(SEARCH("17",AP76)))</formula>
    </cfRule>
  </conditionalFormatting>
  <conditionalFormatting sqref="BA76:BG78">
    <cfRule type="containsText" dxfId="6" priority="9" operator="containsText" text="17">
      <formula>NOT(ISERROR(SEARCH("17",BA76)))</formula>
    </cfRule>
    <cfRule type="containsText" dxfId="5" priority="10" operator="containsText" text="T">
      <formula>NOT(ISERROR(SEARCH("T",BA76)))</formula>
    </cfRule>
  </conditionalFormatting>
  <conditionalFormatting sqref="BB76:BB78">
    <cfRule type="containsText" dxfId="4" priority="6" operator="containsText" text="17">
      <formula>NOT(ISERROR(SEARCH("17",BB76)))</formula>
    </cfRule>
    <cfRule type="containsText" dxfId="3" priority="7" operator="containsText" text="T">
      <formula>NOT(ISERROR(SEARCH("T",BB76)))</formula>
    </cfRule>
  </conditionalFormatting>
  <conditionalFormatting sqref="BG76:BG78 BK76:BM78">
    <cfRule type="containsText" dxfId="2" priority="3" operator="containsText" text="T">
      <formula>NOT(ISERROR(SEARCH("T",BG76)))</formula>
    </cfRule>
  </conditionalFormatting>
  <conditionalFormatting sqref="BG76:BH78 BK76:BM78">
    <cfRule type="containsText" dxfId="1" priority="4" operator="containsText" text="17">
      <formula>NOT(ISERROR(SEARCH("17",BG76)))</formula>
    </cfRule>
  </conditionalFormatting>
  <conditionalFormatting sqref="BH76:BH78">
    <cfRule type="containsText" dxfId="0" priority="5" operator="containsText" text="T">
      <formula>NOT(ISERROR(SEARCH("T",BH76)))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231"/>
  <sheetViews>
    <sheetView tabSelected="1" workbookViewId="0">
      <pane xSplit="2" ySplit="1" topLeftCell="C5" activePane="bottomRight" state="frozen"/>
      <selection pane="topRight" activeCell="C1" sqref="C1"/>
      <selection pane="bottomLeft" activeCell="A2" sqref="A2"/>
      <selection pane="bottomRight" activeCell="N24" sqref="N24"/>
    </sheetView>
  </sheetViews>
  <sheetFormatPr defaultRowHeight="15" x14ac:dyDescent="0.25"/>
  <cols>
    <col min="1" max="1" width="10.7109375" bestFit="1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98">
        <v>45962</v>
      </c>
      <c r="B2" s="25" t="s">
        <v>458</v>
      </c>
      <c r="C2" s="98">
        <f>A2+23</f>
        <v>45985</v>
      </c>
      <c r="D2" s="98">
        <f>A2+7</f>
        <v>45969</v>
      </c>
      <c r="E2" s="98">
        <f>A2+14</f>
        <v>45976</v>
      </c>
      <c r="F2" s="98">
        <f>A2+20</f>
        <v>45982</v>
      </c>
      <c r="G2" s="98">
        <f>A2+8</f>
        <v>45970</v>
      </c>
      <c r="H2" s="98">
        <f>A2+15</f>
        <v>45977</v>
      </c>
      <c r="I2" s="98">
        <v>45991</v>
      </c>
      <c r="J2" s="99">
        <f t="shared" ref="J2:J6" si="0">I2-A2</f>
        <v>29</v>
      </c>
      <c r="K2" s="25">
        <v>19.739999999999998</v>
      </c>
      <c r="L2" s="25">
        <v>10.58</v>
      </c>
      <c r="M2" s="25">
        <f t="shared" ref="M2:M6" si="1">K2-L2</f>
        <v>9.1599999999999984</v>
      </c>
      <c r="N2" s="25" t="s">
        <v>592</v>
      </c>
    </row>
    <row r="3" spans="1:14" x14ac:dyDescent="0.25">
      <c r="A3" s="98">
        <v>45962</v>
      </c>
      <c r="B3" s="25" t="s">
        <v>459</v>
      </c>
      <c r="C3" s="98">
        <f t="shared" ref="C3:C9" si="2">A3+23</f>
        <v>45985</v>
      </c>
      <c r="D3" s="98">
        <f t="shared" ref="D3:D9" si="3">A3+7</f>
        <v>45969</v>
      </c>
      <c r="E3" s="98">
        <f t="shared" ref="E3:E9" si="4">A3+14</f>
        <v>45976</v>
      </c>
      <c r="F3" s="98">
        <f t="shared" ref="F3:F9" si="5">A3+20</f>
        <v>45982</v>
      </c>
      <c r="G3" s="98">
        <f t="shared" ref="G3:G9" si="6">A3+8</f>
        <v>45970</v>
      </c>
      <c r="H3" s="98">
        <f t="shared" ref="H3:H9" si="7">A3+15</f>
        <v>45977</v>
      </c>
      <c r="I3" s="98">
        <v>45991</v>
      </c>
      <c r="J3" s="99">
        <f t="shared" si="0"/>
        <v>29</v>
      </c>
      <c r="K3" s="25">
        <v>19.829999999999998</v>
      </c>
      <c r="L3" s="25">
        <v>10.97</v>
      </c>
      <c r="M3" s="25">
        <f t="shared" si="1"/>
        <v>8.8599999999999977</v>
      </c>
      <c r="N3" s="25" t="s">
        <v>592</v>
      </c>
    </row>
    <row r="4" spans="1:14" x14ac:dyDescent="0.25">
      <c r="A4" s="98">
        <v>45962</v>
      </c>
      <c r="B4" s="25" t="s">
        <v>460</v>
      </c>
      <c r="C4" s="98">
        <f t="shared" si="2"/>
        <v>45985</v>
      </c>
      <c r="D4" s="98">
        <f t="shared" si="3"/>
        <v>45969</v>
      </c>
      <c r="E4" s="98">
        <f t="shared" si="4"/>
        <v>45976</v>
      </c>
      <c r="F4" s="98">
        <f t="shared" si="5"/>
        <v>45982</v>
      </c>
      <c r="G4" s="98">
        <f t="shared" si="6"/>
        <v>45970</v>
      </c>
      <c r="H4" s="98">
        <f t="shared" si="7"/>
        <v>45977</v>
      </c>
      <c r="I4" s="98">
        <v>45991</v>
      </c>
      <c r="J4" s="99">
        <f t="shared" si="0"/>
        <v>29</v>
      </c>
      <c r="K4" s="25">
        <v>18.91</v>
      </c>
      <c r="L4" s="25">
        <v>18.420000000000002</v>
      </c>
      <c r="M4" s="25">
        <f t="shared" si="1"/>
        <v>0.48999999999999844</v>
      </c>
      <c r="N4" s="25" t="s">
        <v>593</v>
      </c>
    </row>
    <row r="5" spans="1:14" x14ac:dyDescent="0.25">
      <c r="A5" s="98">
        <v>45962</v>
      </c>
      <c r="B5" s="25" t="s">
        <v>461</v>
      </c>
      <c r="C5" s="98">
        <f t="shared" si="2"/>
        <v>45985</v>
      </c>
      <c r="D5" s="98">
        <f t="shared" si="3"/>
        <v>45969</v>
      </c>
      <c r="E5" s="98">
        <f t="shared" si="4"/>
        <v>45976</v>
      </c>
      <c r="F5" s="98">
        <f t="shared" si="5"/>
        <v>45982</v>
      </c>
      <c r="G5" s="98">
        <f t="shared" si="6"/>
        <v>45970</v>
      </c>
      <c r="H5" s="98">
        <f t="shared" si="7"/>
        <v>45977</v>
      </c>
      <c r="I5" s="98">
        <v>45991</v>
      </c>
      <c r="J5" s="99">
        <f t="shared" si="0"/>
        <v>29</v>
      </c>
      <c r="K5" s="25">
        <v>17.75</v>
      </c>
      <c r="L5" s="25">
        <v>16.28</v>
      </c>
      <c r="M5" s="25">
        <f t="shared" si="1"/>
        <v>1.4699999999999989</v>
      </c>
      <c r="N5" s="25" t="s">
        <v>593</v>
      </c>
    </row>
    <row r="6" spans="1:14" x14ac:dyDescent="0.25">
      <c r="A6" s="98">
        <v>45962</v>
      </c>
      <c r="B6" s="25" t="s">
        <v>462</v>
      </c>
      <c r="C6" s="98">
        <f t="shared" si="2"/>
        <v>45985</v>
      </c>
      <c r="D6" s="98">
        <f t="shared" si="3"/>
        <v>45969</v>
      </c>
      <c r="E6" s="98">
        <f t="shared" si="4"/>
        <v>45976</v>
      </c>
      <c r="F6" s="98">
        <f t="shared" si="5"/>
        <v>45982</v>
      </c>
      <c r="G6" s="98">
        <f t="shared" si="6"/>
        <v>45970</v>
      </c>
      <c r="H6" s="98">
        <f t="shared" si="7"/>
        <v>45977</v>
      </c>
      <c r="I6" s="98">
        <v>45991</v>
      </c>
      <c r="J6" s="99">
        <f t="shared" si="0"/>
        <v>29</v>
      </c>
      <c r="K6" s="25">
        <v>16.420000000000002</v>
      </c>
      <c r="L6" s="25">
        <v>15.72</v>
      </c>
      <c r="M6" s="25">
        <f t="shared" si="1"/>
        <v>0.70000000000000107</v>
      </c>
      <c r="N6" s="25" t="s">
        <v>593</v>
      </c>
    </row>
    <row r="7" spans="1:14" x14ac:dyDescent="0.25">
      <c r="A7" s="98">
        <v>45962</v>
      </c>
      <c r="B7" s="25" t="s">
        <v>463</v>
      </c>
      <c r="C7" s="98">
        <f t="shared" si="2"/>
        <v>45985</v>
      </c>
      <c r="D7" s="98">
        <f t="shared" si="3"/>
        <v>45969</v>
      </c>
      <c r="E7" s="98">
        <f t="shared" si="4"/>
        <v>45976</v>
      </c>
      <c r="F7" s="98">
        <f t="shared" si="5"/>
        <v>45982</v>
      </c>
      <c r="G7" s="98">
        <f t="shared" si="6"/>
        <v>45970</v>
      </c>
      <c r="H7" s="98">
        <f t="shared" si="7"/>
        <v>45977</v>
      </c>
      <c r="I7" s="98">
        <v>45992</v>
      </c>
      <c r="J7" s="99">
        <f>I7-A7</f>
        <v>30</v>
      </c>
      <c r="K7" s="25">
        <v>19.91</v>
      </c>
      <c r="L7" s="25">
        <v>10.84</v>
      </c>
      <c r="M7" s="25">
        <f>K7-L7</f>
        <v>9.07</v>
      </c>
      <c r="N7" s="25" t="s">
        <v>592</v>
      </c>
    </row>
    <row r="8" spans="1:14" x14ac:dyDescent="0.25">
      <c r="A8" s="98">
        <v>45962</v>
      </c>
      <c r="B8" s="25" t="s">
        <v>464</v>
      </c>
      <c r="C8" s="98">
        <f t="shared" si="2"/>
        <v>45985</v>
      </c>
      <c r="D8" s="98">
        <f t="shared" si="3"/>
        <v>45969</v>
      </c>
      <c r="E8" s="98">
        <f t="shared" si="4"/>
        <v>45976</v>
      </c>
      <c r="F8" s="98">
        <f t="shared" si="5"/>
        <v>45982</v>
      </c>
      <c r="G8" s="98">
        <f t="shared" si="6"/>
        <v>45970</v>
      </c>
      <c r="H8" s="98">
        <f t="shared" si="7"/>
        <v>45977</v>
      </c>
      <c r="I8" s="98">
        <v>45991</v>
      </c>
      <c r="J8" s="99">
        <f t="shared" ref="J8" si="8">I8-A8</f>
        <v>29</v>
      </c>
      <c r="K8" s="25">
        <v>15.36</v>
      </c>
      <c r="L8" s="25">
        <v>14.51</v>
      </c>
      <c r="M8" s="25">
        <f>K8-L8</f>
        <v>0.84999999999999964</v>
      </c>
      <c r="N8" s="25" t="s">
        <v>593</v>
      </c>
    </row>
    <row r="9" spans="1:14" x14ac:dyDescent="0.25">
      <c r="A9" s="98">
        <v>45963</v>
      </c>
      <c r="B9" s="25" t="s">
        <v>421</v>
      </c>
      <c r="C9" s="98">
        <f t="shared" si="2"/>
        <v>45986</v>
      </c>
      <c r="D9" s="98">
        <f t="shared" si="3"/>
        <v>45970</v>
      </c>
      <c r="E9" s="98">
        <f t="shared" si="4"/>
        <v>45977</v>
      </c>
      <c r="F9" s="98">
        <f t="shared" si="5"/>
        <v>45983</v>
      </c>
      <c r="G9" s="98">
        <f t="shared" si="6"/>
        <v>45971</v>
      </c>
      <c r="H9" s="98">
        <f t="shared" si="7"/>
        <v>45978</v>
      </c>
      <c r="I9" s="98">
        <v>45993</v>
      </c>
      <c r="J9" s="99">
        <f t="shared" ref="J9:J11" si="9">I9-A9</f>
        <v>30</v>
      </c>
      <c r="K9" s="25">
        <v>18.91</v>
      </c>
      <c r="L9" s="25">
        <v>17.62</v>
      </c>
      <c r="M9" s="25">
        <f>K9-L9</f>
        <v>1.2899999999999991</v>
      </c>
      <c r="N9" s="25" t="s">
        <v>593</v>
      </c>
    </row>
    <row r="10" spans="1:14" x14ac:dyDescent="0.25">
      <c r="A10" s="98">
        <v>45963</v>
      </c>
      <c r="B10" s="25" t="s">
        <v>422</v>
      </c>
      <c r="C10" s="98">
        <f t="shared" ref="C10:C15" si="10">A10+23</f>
        <v>45986</v>
      </c>
      <c r="D10" s="98">
        <f t="shared" ref="D10:D15" si="11">A10+7</f>
        <v>45970</v>
      </c>
      <c r="E10" s="98">
        <f t="shared" ref="E10:E15" si="12">A10+14</f>
        <v>45977</v>
      </c>
      <c r="F10" s="98">
        <f t="shared" ref="F10:F15" si="13">A10+20</f>
        <v>45983</v>
      </c>
      <c r="G10" s="98">
        <f t="shared" ref="G10:G15" si="14">A10+8</f>
        <v>45971</v>
      </c>
      <c r="H10" s="98">
        <f t="shared" ref="H10:H15" si="15">A10+15</f>
        <v>45978</v>
      </c>
      <c r="I10" s="98">
        <v>45993</v>
      </c>
      <c r="J10" s="99">
        <f t="shared" si="9"/>
        <v>30</v>
      </c>
      <c r="K10" s="25">
        <v>19.239999999999998</v>
      </c>
      <c r="L10" s="25">
        <v>9.73</v>
      </c>
      <c r="M10" s="25">
        <f t="shared" ref="M10:M11" si="16">K10-L10</f>
        <v>9.509999999999998</v>
      </c>
      <c r="N10" s="25" t="s">
        <v>592</v>
      </c>
    </row>
    <row r="11" spans="1:14" x14ac:dyDescent="0.25">
      <c r="A11" s="98">
        <v>45963</v>
      </c>
      <c r="B11" s="25" t="s">
        <v>423</v>
      </c>
      <c r="C11" s="98">
        <f t="shared" si="10"/>
        <v>45986</v>
      </c>
      <c r="D11" s="98">
        <f t="shared" si="11"/>
        <v>45970</v>
      </c>
      <c r="E11" s="98">
        <f t="shared" si="12"/>
        <v>45977</v>
      </c>
      <c r="F11" s="98">
        <f t="shared" si="13"/>
        <v>45983</v>
      </c>
      <c r="G11" s="98">
        <f t="shared" si="14"/>
        <v>45971</v>
      </c>
      <c r="H11" s="98">
        <f t="shared" si="15"/>
        <v>45978</v>
      </c>
      <c r="I11" s="98">
        <v>45993</v>
      </c>
      <c r="J11" s="99">
        <f t="shared" si="9"/>
        <v>30</v>
      </c>
      <c r="K11" s="25">
        <v>17.579999999999998</v>
      </c>
      <c r="L11" s="25">
        <v>8.0399999999999991</v>
      </c>
      <c r="M11" s="25">
        <f t="shared" si="16"/>
        <v>9.5399999999999991</v>
      </c>
      <c r="N11" s="25" t="s">
        <v>592</v>
      </c>
    </row>
    <row r="12" spans="1:14" x14ac:dyDescent="0.25">
      <c r="A12" s="98">
        <v>45963</v>
      </c>
      <c r="B12" s="25" t="s">
        <v>424</v>
      </c>
      <c r="C12" s="98">
        <f t="shared" si="10"/>
        <v>45986</v>
      </c>
      <c r="D12" s="98">
        <f t="shared" si="11"/>
        <v>45970</v>
      </c>
      <c r="E12" s="98">
        <f t="shared" si="12"/>
        <v>45977</v>
      </c>
      <c r="F12" s="98">
        <f t="shared" si="13"/>
        <v>45983</v>
      </c>
      <c r="G12" s="98">
        <f t="shared" si="14"/>
        <v>45971</v>
      </c>
      <c r="H12" s="98">
        <f t="shared" si="15"/>
        <v>45978</v>
      </c>
      <c r="I12" s="98">
        <v>45992</v>
      </c>
      <c r="J12" s="99">
        <f>I12-A12</f>
        <v>29</v>
      </c>
      <c r="K12" s="25">
        <v>16.170000000000002</v>
      </c>
      <c r="L12" s="25">
        <v>14.96</v>
      </c>
      <c r="M12" s="25">
        <f>K12-L12</f>
        <v>1.2100000000000009</v>
      </c>
      <c r="N12" s="25" t="s">
        <v>593</v>
      </c>
    </row>
    <row r="13" spans="1:14" x14ac:dyDescent="0.25">
      <c r="A13" s="98">
        <v>45963</v>
      </c>
      <c r="B13" s="25" t="s">
        <v>425</v>
      </c>
      <c r="C13" s="98">
        <f t="shared" si="10"/>
        <v>45986</v>
      </c>
      <c r="D13" s="98">
        <f t="shared" si="11"/>
        <v>45970</v>
      </c>
      <c r="E13" s="98">
        <f t="shared" si="12"/>
        <v>45977</v>
      </c>
      <c r="F13" s="98">
        <f t="shared" si="13"/>
        <v>45983</v>
      </c>
      <c r="G13" s="98">
        <f t="shared" si="14"/>
        <v>45971</v>
      </c>
      <c r="H13" s="98">
        <f t="shared" si="15"/>
        <v>45978</v>
      </c>
      <c r="I13" s="98">
        <v>45992</v>
      </c>
      <c r="J13" s="99">
        <f>I13-A13</f>
        <v>29</v>
      </c>
      <c r="K13" s="25">
        <v>17.53</v>
      </c>
      <c r="L13" s="25">
        <v>16.28</v>
      </c>
      <c r="M13" s="25">
        <f>K13-L13</f>
        <v>1.25</v>
      </c>
      <c r="N13" s="25" t="s">
        <v>593</v>
      </c>
    </row>
    <row r="14" spans="1:14" x14ac:dyDescent="0.25">
      <c r="A14" s="98">
        <v>45963</v>
      </c>
      <c r="B14" s="25" t="s">
        <v>426</v>
      </c>
      <c r="C14" s="98">
        <f t="shared" si="10"/>
        <v>45986</v>
      </c>
      <c r="D14" s="98">
        <f t="shared" si="11"/>
        <v>45970</v>
      </c>
      <c r="E14" s="98">
        <f t="shared" si="12"/>
        <v>45977</v>
      </c>
      <c r="F14" s="98">
        <f t="shared" si="13"/>
        <v>45983</v>
      </c>
      <c r="G14" s="98">
        <f t="shared" si="14"/>
        <v>45971</v>
      </c>
      <c r="H14" s="98">
        <f t="shared" si="15"/>
        <v>45978</v>
      </c>
      <c r="I14" s="98">
        <v>45992</v>
      </c>
      <c r="J14" s="99">
        <f>I14-A14</f>
        <v>29</v>
      </c>
      <c r="K14" s="25">
        <v>16.760000000000002</v>
      </c>
      <c r="L14" s="25">
        <v>15.35</v>
      </c>
      <c r="M14" s="25">
        <f>K14-L14</f>
        <v>1.4100000000000019</v>
      </c>
      <c r="N14" s="25" t="s">
        <v>593</v>
      </c>
    </row>
    <row r="15" spans="1:14" x14ac:dyDescent="0.25">
      <c r="A15" s="98">
        <v>45963</v>
      </c>
      <c r="B15" s="25" t="s">
        <v>427</v>
      </c>
      <c r="C15" s="98">
        <f t="shared" si="10"/>
        <v>45986</v>
      </c>
      <c r="D15" s="98">
        <f t="shared" si="11"/>
        <v>45970</v>
      </c>
      <c r="E15" s="98">
        <f t="shared" si="12"/>
        <v>45977</v>
      </c>
      <c r="F15" s="98">
        <f t="shared" si="13"/>
        <v>45983</v>
      </c>
      <c r="G15" s="98">
        <f t="shared" si="14"/>
        <v>45971</v>
      </c>
      <c r="H15" s="98">
        <f t="shared" si="15"/>
        <v>45978</v>
      </c>
      <c r="I15" s="98">
        <v>45992</v>
      </c>
      <c r="J15" s="99">
        <f>I15-A15</f>
        <v>29</v>
      </c>
      <c r="K15" s="25">
        <v>19.739999999999998</v>
      </c>
      <c r="L15" s="25">
        <v>10.51</v>
      </c>
      <c r="M15" s="25">
        <f>K15-L15</f>
        <v>9.2299999999999986</v>
      </c>
      <c r="N15" s="25" t="s">
        <v>592</v>
      </c>
    </row>
    <row r="16" spans="1:14" x14ac:dyDescent="0.25">
      <c r="A16" s="98">
        <v>45964</v>
      </c>
      <c r="B16" s="25" t="s">
        <v>451</v>
      </c>
      <c r="C16" s="98">
        <f t="shared" ref="C16:C79" si="17">A16+23</f>
        <v>45987</v>
      </c>
      <c r="D16" s="98">
        <f t="shared" ref="D16:D79" si="18">A16+7</f>
        <v>45971</v>
      </c>
      <c r="E16" s="98">
        <f t="shared" ref="E16:E79" si="19">A16+14</f>
        <v>45978</v>
      </c>
      <c r="F16" s="98">
        <f t="shared" ref="F16:F79" si="20">A16+20</f>
        <v>45984</v>
      </c>
      <c r="G16" s="98">
        <f t="shared" ref="G16:G79" si="21">A16+8</f>
        <v>45972</v>
      </c>
      <c r="H16" s="98">
        <f t="shared" ref="H16:H79" si="22">A16+15</f>
        <v>45979</v>
      </c>
      <c r="I16" s="98"/>
      <c r="J16" s="99"/>
      <c r="K16" s="25"/>
      <c r="L16" s="25"/>
      <c r="M16" s="25"/>
      <c r="N16" s="25"/>
    </row>
    <row r="17" spans="1:14" x14ac:dyDescent="0.25">
      <c r="A17" s="98">
        <v>45964</v>
      </c>
      <c r="B17" s="25" t="s">
        <v>452</v>
      </c>
      <c r="C17" s="98">
        <f t="shared" si="17"/>
        <v>45987</v>
      </c>
      <c r="D17" s="98">
        <f t="shared" si="18"/>
        <v>45971</v>
      </c>
      <c r="E17" s="98">
        <f t="shared" si="19"/>
        <v>45978</v>
      </c>
      <c r="F17" s="98">
        <f t="shared" si="20"/>
        <v>45984</v>
      </c>
      <c r="G17" s="98">
        <f t="shared" si="21"/>
        <v>45972</v>
      </c>
      <c r="H17" s="98">
        <f t="shared" si="22"/>
        <v>45979</v>
      </c>
      <c r="I17" s="98">
        <v>45994</v>
      </c>
      <c r="J17" s="99">
        <f>I17-A17</f>
        <v>30</v>
      </c>
      <c r="K17" s="25">
        <v>18.21</v>
      </c>
      <c r="L17" s="25">
        <v>17.809999999999999</v>
      </c>
      <c r="M17" s="25">
        <f t="shared" ref="M17:M22" si="23">K17-L17</f>
        <v>0.40000000000000213</v>
      </c>
      <c r="N17" s="25" t="s">
        <v>593</v>
      </c>
    </row>
    <row r="18" spans="1:14" x14ac:dyDescent="0.25">
      <c r="A18" s="98">
        <v>45964</v>
      </c>
      <c r="B18" s="25" t="s">
        <v>453</v>
      </c>
      <c r="C18" s="98">
        <f t="shared" si="17"/>
        <v>45987</v>
      </c>
      <c r="D18" s="98">
        <f t="shared" si="18"/>
        <v>45971</v>
      </c>
      <c r="E18" s="98">
        <f t="shared" si="19"/>
        <v>45978</v>
      </c>
      <c r="F18" s="98">
        <f t="shared" si="20"/>
        <v>45984</v>
      </c>
      <c r="G18" s="98">
        <f t="shared" si="21"/>
        <v>45972</v>
      </c>
      <c r="H18" s="98">
        <f t="shared" si="22"/>
        <v>45979</v>
      </c>
      <c r="I18" s="98">
        <v>45994</v>
      </c>
      <c r="J18" s="99">
        <f t="shared" ref="J18:J22" si="24">I18-A18</f>
        <v>30</v>
      </c>
      <c r="K18" s="25">
        <v>17.93</v>
      </c>
      <c r="L18" s="25">
        <v>16.579999999999998</v>
      </c>
      <c r="M18" s="25">
        <f t="shared" si="23"/>
        <v>1.3500000000000014</v>
      </c>
      <c r="N18" s="25" t="s">
        <v>593</v>
      </c>
    </row>
    <row r="19" spans="1:14" x14ac:dyDescent="0.25">
      <c r="A19" s="98">
        <v>45964</v>
      </c>
      <c r="B19" s="25" t="s">
        <v>454</v>
      </c>
      <c r="C19" s="98">
        <f t="shared" si="17"/>
        <v>45987</v>
      </c>
      <c r="D19" s="98">
        <f t="shared" si="18"/>
        <v>45971</v>
      </c>
      <c r="E19" s="98">
        <f t="shared" si="19"/>
        <v>45978</v>
      </c>
      <c r="F19" s="98">
        <f t="shared" si="20"/>
        <v>45984</v>
      </c>
      <c r="G19" s="98">
        <f t="shared" si="21"/>
        <v>45972</v>
      </c>
      <c r="H19" s="98">
        <f t="shared" si="22"/>
        <v>45979</v>
      </c>
      <c r="I19" s="98">
        <v>45994</v>
      </c>
      <c r="J19" s="99">
        <f t="shared" si="24"/>
        <v>30</v>
      </c>
      <c r="K19" s="25">
        <v>18.559999999999999</v>
      </c>
      <c r="L19" s="25">
        <v>17.21</v>
      </c>
      <c r="M19" s="25">
        <f t="shared" si="23"/>
        <v>1.3499999999999979</v>
      </c>
      <c r="N19" s="25" t="s">
        <v>593</v>
      </c>
    </row>
    <row r="20" spans="1:14" x14ac:dyDescent="0.25">
      <c r="A20" s="98">
        <v>45964</v>
      </c>
      <c r="B20" s="25" t="s">
        <v>455</v>
      </c>
      <c r="C20" s="98">
        <f t="shared" si="17"/>
        <v>45987</v>
      </c>
      <c r="D20" s="98">
        <f t="shared" si="18"/>
        <v>45971</v>
      </c>
      <c r="E20" s="98">
        <f t="shared" si="19"/>
        <v>45978</v>
      </c>
      <c r="F20" s="98">
        <f t="shared" si="20"/>
        <v>45984</v>
      </c>
      <c r="G20" s="98">
        <f t="shared" si="21"/>
        <v>45972</v>
      </c>
      <c r="H20" s="98">
        <f t="shared" si="22"/>
        <v>45979</v>
      </c>
      <c r="I20" s="98">
        <v>45994</v>
      </c>
      <c r="J20" s="99">
        <f t="shared" si="24"/>
        <v>30</v>
      </c>
      <c r="K20" s="25">
        <v>18.11</v>
      </c>
      <c r="L20" s="25">
        <v>8.76</v>
      </c>
      <c r="M20" s="25">
        <f t="shared" si="23"/>
        <v>9.35</v>
      </c>
      <c r="N20" s="25" t="s">
        <v>592</v>
      </c>
    </row>
    <row r="21" spans="1:14" x14ac:dyDescent="0.25">
      <c r="A21" s="98">
        <v>45964</v>
      </c>
      <c r="B21" s="25" t="s">
        <v>456</v>
      </c>
      <c r="C21" s="98">
        <f t="shared" si="17"/>
        <v>45987</v>
      </c>
      <c r="D21" s="98">
        <f t="shared" si="18"/>
        <v>45971</v>
      </c>
      <c r="E21" s="98">
        <f t="shared" si="19"/>
        <v>45978</v>
      </c>
      <c r="F21" s="98">
        <f t="shared" si="20"/>
        <v>45984</v>
      </c>
      <c r="G21" s="98">
        <f t="shared" si="21"/>
        <v>45972</v>
      </c>
      <c r="H21" s="98">
        <f t="shared" si="22"/>
        <v>45979</v>
      </c>
      <c r="I21" s="98">
        <v>45994</v>
      </c>
      <c r="J21" s="99">
        <f t="shared" si="24"/>
        <v>30</v>
      </c>
      <c r="K21" s="25">
        <v>17.510000000000002</v>
      </c>
      <c r="L21" s="25">
        <v>7.91</v>
      </c>
      <c r="M21" s="25">
        <f t="shared" si="23"/>
        <v>9.6000000000000014</v>
      </c>
      <c r="N21" s="25" t="s">
        <v>592</v>
      </c>
    </row>
    <row r="22" spans="1:14" x14ac:dyDescent="0.25">
      <c r="A22" s="98">
        <v>45964</v>
      </c>
      <c r="B22" s="25" t="s">
        <v>457</v>
      </c>
      <c r="C22" s="98">
        <f t="shared" si="17"/>
        <v>45987</v>
      </c>
      <c r="D22" s="98">
        <f t="shared" si="18"/>
        <v>45971</v>
      </c>
      <c r="E22" s="98">
        <f t="shared" si="19"/>
        <v>45978</v>
      </c>
      <c r="F22" s="98">
        <f t="shared" si="20"/>
        <v>45984</v>
      </c>
      <c r="G22" s="98">
        <f t="shared" si="21"/>
        <v>45972</v>
      </c>
      <c r="H22" s="98">
        <f t="shared" si="22"/>
        <v>45979</v>
      </c>
      <c r="I22" s="98">
        <v>45994</v>
      </c>
      <c r="J22" s="99">
        <f t="shared" si="24"/>
        <v>30</v>
      </c>
      <c r="K22" s="25">
        <v>16.59</v>
      </c>
      <c r="L22" s="25">
        <v>7.14</v>
      </c>
      <c r="M22" s="25">
        <f t="shared" si="23"/>
        <v>9.4499999999999993</v>
      </c>
      <c r="N22" s="25" t="s">
        <v>592</v>
      </c>
    </row>
    <row r="23" spans="1:14" x14ac:dyDescent="0.25">
      <c r="A23" s="98">
        <v>45965</v>
      </c>
      <c r="B23" s="25" t="s">
        <v>465</v>
      </c>
      <c r="C23" s="98">
        <f t="shared" si="17"/>
        <v>45988</v>
      </c>
      <c r="D23" s="98">
        <f t="shared" si="18"/>
        <v>45972</v>
      </c>
      <c r="E23" s="98">
        <f t="shared" si="19"/>
        <v>45979</v>
      </c>
      <c r="F23" s="98">
        <f t="shared" si="20"/>
        <v>45985</v>
      </c>
      <c r="G23" s="98">
        <f t="shared" si="21"/>
        <v>45973</v>
      </c>
      <c r="H23" s="98">
        <f t="shared" si="22"/>
        <v>45980</v>
      </c>
      <c r="I23" s="98"/>
      <c r="J23" s="99"/>
      <c r="K23" s="25"/>
      <c r="L23" s="25"/>
      <c r="M23" s="25"/>
      <c r="N23" s="25"/>
    </row>
    <row r="24" spans="1:14" x14ac:dyDescent="0.25">
      <c r="A24" s="98">
        <v>45965</v>
      </c>
      <c r="B24" s="25" t="s">
        <v>466</v>
      </c>
      <c r="C24" s="98">
        <f t="shared" si="17"/>
        <v>45988</v>
      </c>
      <c r="D24" s="98">
        <f t="shared" si="18"/>
        <v>45972</v>
      </c>
      <c r="E24" s="98">
        <f t="shared" si="19"/>
        <v>45979</v>
      </c>
      <c r="F24" s="98">
        <f t="shared" si="20"/>
        <v>45985</v>
      </c>
      <c r="G24" s="98">
        <f t="shared" si="21"/>
        <v>45973</v>
      </c>
      <c r="H24" s="98">
        <f t="shared" si="22"/>
        <v>45980</v>
      </c>
      <c r="I24" s="98"/>
      <c r="J24" s="99"/>
      <c r="K24" s="25"/>
      <c r="L24" s="25"/>
      <c r="M24" s="25"/>
      <c r="N24" s="25"/>
    </row>
    <row r="25" spans="1:14" x14ac:dyDescent="0.25">
      <c r="A25" s="98">
        <v>45965</v>
      </c>
      <c r="B25" s="25" t="s">
        <v>467</v>
      </c>
      <c r="C25" s="98">
        <f t="shared" si="17"/>
        <v>45988</v>
      </c>
      <c r="D25" s="98">
        <f t="shared" si="18"/>
        <v>45972</v>
      </c>
      <c r="E25" s="98">
        <f t="shared" si="19"/>
        <v>45979</v>
      </c>
      <c r="F25" s="98">
        <f t="shared" si="20"/>
        <v>45985</v>
      </c>
      <c r="G25" s="98">
        <f t="shared" si="21"/>
        <v>45973</v>
      </c>
      <c r="H25" s="98">
        <f t="shared" si="22"/>
        <v>45980</v>
      </c>
      <c r="I25" s="98"/>
      <c r="J25" s="99"/>
      <c r="K25" s="25"/>
      <c r="L25" s="25"/>
      <c r="M25" s="25"/>
      <c r="N25" s="25"/>
    </row>
    <row r="26" spans="1:14" x14ac:dyDescent="0.25">
      <c r="A26" s="98">
        <v>45965</v>
      </c>
      <c r="B26" s="25" t="s">
        <v>468</v>
      </c>
      <c r="C26" s="98">
        <f t="shared" si="17"/>
        <v>45988</v>
      </c>
      <c r="D26" s="98">
        <f t="shared" si="18"/>
        <v>45972</v>
      </c>
      <c r="E26" s="98">
        <f t="shared" si="19"/>
        <v>45979</v>
      </c>
      <c r="F26" s="98">
        <f t="shared" si="20"/>
        <v>45985</v>
      </c>
      <c r="G26" s="98">
        <f t="shared" si="21"/>
        <v>45973</v>
      </c>
      <c r="H26" s="98">
        <f t="shared" si="22"/>
        <v>45980</v>
      </c>
      <c r="I26" s="98"/>
      <c r="J26" s="99"/>
      <c r="K26" s="25"/>
      <c r="L26" s="25"/>
      <c r="M26" s="25"/>
      <c r="N26" s="25"/>
    </row>
    <row r="27" spans="1:14" x14ac:dyDescent="0.25">
      <c r="A27" s="98">
        <v>45965</v>
      </c>
      <c r="B27" s="25" t="s">
        <v>469</v>
      </c>
      <c r="C27" s="98">
        <f t="shared" si="17"/>
        <v>45988</v>
      </c>
      <c r="D27" s="98">
        <f t="shared" si="18"/>
        <v>45972</v>
      </c>
      <c r="E27" s="98">
        <f t="shared" si="19"/>
        <v>45979</v>
      </c>
      <c r="F27" s="98">
        <f t="shared" si="20"/>
        <v>45985</v>
      </c>
      <c r="G27" s="98">
        <f t="shared" si="21"/>
        <v>45973</v>
      </c>
      <c r="H27" s="98">
        <f t="shared" si="22"/>
        <v>45980</v>
      </c>
      <c r="I27" s="98"/>
      <c r="J27" s="99"/>
      <c r="K27" s="25"/>
      <c r="L27" s="25"/>
      <c r="M27" s="25"/>
      <c r="N27" s="25"/>
    </row>
    <row r="28" spans="1:14" x14ac:dyDescent="0.25">
      <c r="A28" s="98">
        <v>45965</v>
      </c>
      <c r="B28" s="25" t="s">
        <v>470</v>
      </c>
      <c r="C28" s="98">
        <f t="shared" si="17"/>
        <v>45988</v>
      </c>
      <c r="D28" s="98">
        <f t="shared" si="18"/>
        <v>45972</v>
      </c>
      <c r="E28" s="98">
        <f t="shared" si="19"/>
        <v>45979</v>
      </c>
      <c r="F28" s="98">
        <f t="shared" si="20"/>
        <v>45985</v>
      </c>
      <c r="G28" s="98">
        <f t="shared" si="21"/>
        <v>45973</v>
      </c>
      <c r="H28" s="98">
        <f t="shared" si="22"/>
        <v>45980</v>
      </c>
      <c r="I28" s="98"/>
      <c r="J28" s="99"/>
      <c r="K28" s="25"/>
      <c r="L28" s="25"/>
      <c r="M28" s="25"/>
      <c r="N28" s="25"/>
    </row>
    <row r="29" spans="1:14" x14ac:dyDescent="0.25">
      <c r="A29" s="98">
        <v>45965</v>
      </c>
      <c r="B29" s="25" t="s">
        <v>471</v>
      </c>
      <c r="C29" s="98">
        <f t="shared" si="17"/>
        <v>45988</v>
      </c>
      <c r="D29" s="98">
        <f t="shared" si="18"/>
        <v>45972</v>
      </c>
      <c r="E29" s="98">
        <f t="shared" si="19"/>
        <v>45979</v>
      </c>
      <c r="F29" s="98">
        <f t="shared" si="20"/>
        <v>45985</v>
      </c>
      <c r="G29" s="98">
        <f t="shared" si="21"/>
        <v>45973</v>
      </c>
      <c r="H29" s="98">
        <f t="shared" si="22"/>
        <v>45980</v>
      </c>
      <c r="I29" s="98"/>
      <c r="J29" s="99"/>
      <c r="K29" s="25"/>
      <c r="L29" s="25"/>
      <c r="M29" s="25"/>
      <c r="N29" s="25"/>
    </row>
    <row r="30" spans="1:14" x14ac:dyDescent="0.25">
      <c r="A30" s="98">
        <v>45966</v>
      </c>
      <c r="B30" s="25" t="s">
        <v>414</v>
      </c>
      <c r="C30" s="98">
        <f t="shared" si="17"/>
        <v>45989</v>
      </c>
      <c r="D30" s="98">
        <f t="shared" si="18"/>
        <v>45973</v>
      </c>
      <c r="E30" s="98">
        <f t="shared" si="19"/>
        <v>45980</v>
      </c>
      <c r="F30" s="98">
        <f t="shared" si="20"/>
        <v>45986</v>
      </c>
      <c r="G30" s="98">
        <f t="shared" si="21"/>
        <v>45974</v>
      </c>
      <c r="H30" s="98">
        <f t="shared" si="22"/>
        <v>45981</v>
      </c>
      <c r="I30" s="98"/>
      <c r="J30" s="99"/>
      <c r="K30" s="25"/>
      <c r="L30" s="25"/>
      <c r="M30" s="25"/>
      <c r="N30" s="25"/>
    </row>
    <row r="31" spans="1:14" x14ac:dyDescent="0.25">
      <c r="A31" s="98">
        <v>45966</v>
      </c>
      <c r="B31" s="25" t="s">
        <v>415</v>
      </c>
      <c r="C31" s="98">
        <f t="shared" si="17"/>
        <v>45989</v>
      </c>
      <c r="D31" s="98">
        <f t="shared" si="18"/>
        <v>45973</v>
      </c>
      <c r="E31" s="98">
        <f t="shared" si="19"/>
        <v>45980</v>
      </c>
      <c r="F31" s="98">
        <f t="shared" si="20"/>
        <v>45986</v>
      </c>
      <c r="G31" s="98">
        <f t="shared" si="21"/>
        <v>45974</v>
      </c>
      <c r="H31" s="98">
        <f t="shared" si="22"/>
        <v>45981</v>
      </c>
      <c r="I31" s="98"/>
      <c r="J31" s="99"/>
      <c r="K31" s="25"/>
      <c r="L31" s="25"/>
      <c r="M31" s="25"/>
      <c r="N31" s="25"/>
    </row>
    <row r="32" spans="1:14" x14ac:dyDescent="0.25">
      <c r="A32" s="98">
        <v>45966</v>
      </c>
      <c r="B32" s="25" t="s">
        <v>416</v>
      </c>
      <c r="C32" s="98">
        <f t="shared" si="17"/>
        <v>45989</v>
      </c>
      <c r="D32" s="98">
        <f t="shared" si="18"/>
        <v>45973</v>
      </c>
      <c r="E32" s="98">
        <f t="shared" si="19"/>
        <v>45980</v>
      </c>
      <c r="F32" s="98">
        <f t="shared" si="20"/>
        <v>45986</v>
      </c>
      <c r="G32" s="98">
        <f t="shared" si="21"/>
        <v>45974</v>
      </c>
      <c r="H32" s="98">
        <f t="shared" si="22"/>
        <v>45981</v>
      </c>
      <c r="I32" s="98"/>
      <c r="J32" s="99"/>
      <c r="K32" s="25"/>
      <c r="L32" s="25"/>
      <c r="M32" s="25"/>
      <c r="N32" s="25"/>
    </row>
    <row r="33" spans="1:14" x14ac:dyDescent="0.25">
      <c r="A33" s="98">
        <v>45966</v>
      </c>
      <c r="B33" s="25" t="s">
        <v>417</v>
      </c>
      <c r="C33" s="98">
        <f t="shared" si="17"/>
        <v>45989</v>
      </c>
      <c r="D33" s="98">
        <f t="shared" si="18"/>
        <v>45973</v>
      </c>
      <c r="E33" s="98">
        <f t="shared" si="19"/>
        <v>45980</v>
      </c>
      <c r="F33" s="98">
        <f t="shared" si="20"/>
        <v>45986</v>
      </c>
      <c r="G33" s="98">
        <f t="shared" si="21"/>
        <v>45974</v>
      </c>
      <c r="H33" s="98">
        <f t="shared" si="22"/>
        <v>45981</v>
      </c>
      <c r="I33" s="98"/>
      <c r="J33" s="99"/>
      <c r="K33" s="25"/>
      <c r="L33" s="25"/>
      <c r="M33" s="25"/>
      <c r="N33" s="25"/>
    </row>
    <row r="34" spans="1:14" x14ac:dyDescent="0.25">
      <c r="A34" s="98">
        <v>45966</v>
      </c>
      <c r="B34" s="25" t="s">
        <v>418</v>
      </c>
      <c r="C34" s="98">
        <f t="shared" si="17"/>
        <v>45989</v>
      </c>
      <c r="D34" s="98">
        <f t="shared" si="18"/>
        <v>45973</v>
      </c>
      <c r="E34" s="98">
        <f t="shared" si="19"/>
        <v>45980</v>
      </c>
      <c r="F34" s="98">
        <f t="shared" si="20"/>
        <v>45986</v>
      </c>
      <c r="G34" s="98">
        <f t="shared" si="21"/>
        <v>45974</v>
      </c>
      <c r="H34" s="98">
        <f t="shared" si="22"/>
        <v>45981</v>
      </c>
      <c r="I34" s="98"/>
      <c r="J34" s="99"/>
      <c r="K34" s="25"/>
      <c r="L34" s="25"/>
      <c r="M34" s="25"/>
      <c r="N34" s="25"/>
    </row>
    <row r="35" spans="1:14" x14ac:dyDescent="0.25">
      <c r="A35" s="98">
        <v>45966</v>
      </c>
      <c r="B35" s="25" t="s">
        <v>419</v>
      </c>
      <c r="C35" s="98">
        <f t="shared" si="17"/>
        <v>45989</v>
      </c>
      <c r="D35" s="98">
        <f t="shared" si="18"/>
        <v>45973</v>
      </c>
      <c r="E35" s="98">
        <f t="shared" si="19"/>
        <v>45980</v>
      </c>
      <c r="F35" s="98">
        <f t="shared" si="20"/>
        <v>45986</v>
      </c>
      <c r="G35" s="98">
        <f t="shared" si="21"/>
        <v>45974</v>
      </c>
      <c r="H35" s="98">
        <f t="shared" si="22"/>
        <v>45981</v>
      </c>
      <c r="I35" s="98"/>
      <c r="J35" s="99"/>
      <c r="K35" s="25"/>
      <c r="L35" s="25"/>
      <c r="M35" s="25"/>
      <c r="N35" s="25"/>
    </row>
    <row r="36" spans="1:14" x14ac:dyDescent="0.25">
      <c r="A36" s="98">
        <v>45966</v>
      </c>
      <c r="B36" s="25" t="s">
        <v>420</v>
      </c>
      <c r="C36" s="98">
        <f t="shared" si="17"/>
        <v>45989</v>
      </c>
      <c r="D36" s="98">
        <f t="shared" si="18"/>
        <v>45973</v>
      </c>
      <c r="E36" s="98">
        <f t="shared" si="19"/>
        <v>45980</v>
      </c>
      <c r="F36" s="98">
        <f t="shared" si="20"/>
        <v>45986</v>
      </c>
      <c r="G36" s="98">
        <f t="shared" si="21"/>
        <v>45974</v>
      </c>
      <c r="H36" s="98">
        <f t="shared" si="22"/>
        <v>45981</v>
      </c>
      <c r="I36" s="98"/>
      <c r="J36" s="99"/>
      <c r="K36" s="25"/>
      <c r="L36" s="25"/>
      <c r="M36" s="25"/>
      <c r="N36" s="25"/>
    </row>
    <row r="37" spans="1:14" x14ac:dyDescent="0.25">
      <c r="A37" s="98">
        <v>45967</v>
      </c>
      <c r="B37" s="25" t="s">
        <v>444</v>
      </c>
      <c r="C37" s="98">
        <f t="shared" si="17"/>
        <v>45990</v>
      </c>
      <c r="D37" s="98">
        <f t="shared" si="18"/>
        <v>45974</v>
      </c>
      <c r="E37" s="98">
        <f t="shared" si="19"/>
        <v>45981</v>
      </c>
      <c r="F37" s="98">
        <f t="shared" si="20"/>
        <v>45987</v>
      </c>
      <c r="G37" s="98">
        <f t="shared" si="21"/>
        <v>45975</v>
      </c>
      <c r="H37" s="98">
        <f t="shared" si="22"/>
        <v>45982</v>
      </c>
      <c r="I37" s="98"/>
      <c r="J37" s="99"/>
      <c r="K37" s="25"/>
      <c r="L37" s="25"/>
      <c r="M37" s="25"/>
      <c r="N37" s="25"/>
    </row>
    <row r="38" spans="1:14" x14ac:dyDescent="0.25">
      <c r="A38" s="98">
        <v>45967</v>
      </c>
      <c r="B38" s="25" t="s">
        <v>445</v>
      </c>
      <c r="C38" s="98">
        <f t="shared" si="17"/>
        <v>45990</v>
      </c>
      <c r="D38" s="98">
        <f t="shared" si="18"/>
        <v>45974</v>
      </c>
      <c r="E38" s="98">
        <f t="shared" si="19"/>
        <v>45981</v>
      </c>
      <c r="F38" s="98">
        <f t="shared" si="20"/>
        <v>45987</v>
      </c>
      <c r="G38" s="98">
        <f t="shared" si="21"/>
        <v>45975</v>
      </c>
      <c r="H38" s="98">
        <f t="shared" si="22"/>
        <v>45982</v>
      </c>
      <c r="I38" s="98"/>
      <c r="J38" s="99"/>
      <c r="K38" s="25"/>
      <c r="L38" s="25"/>
      <c r="M38" s="25"/>
      <c r="N38" s="25"/>
    </row>
    <row r="39" spans="1:14" x14ac:dyDescent="0.25">
      <c r="A39" s="98">
        <v>45967</v>
      </c>
      <c r="B39" s="25" t="s">
        <v>446</v>
      </c>
      <c r="C39" s="98">
        <f t="shared" si="17"/>
        <v>45990</v>
      </c>
      <c r="D39" s="98">
        <f t="shared" si="18"/>
        <v>45974</v>
      </c>
      <c r="E39" s="98">
        <f t="shared" si="19"/>
        <v>45981</v>
      </c>
      <c r="F39" s="98">
        <f t="shared" si="20"/>
        <v>45987</v>
      </c>
      <c r="G39" s="98">
        <f t="shared" si="21"/>
        <v>45975</v>
      </c>
      <c r="H39" s="98">
        <f t="shared" si="22"/>
        <v>45982</v>
      </c>
      <c r="I39" s="98"/>
      <c r="J39" s="99"/>
      <c r="K39" s="25"/>
      <c r="L39" s="25"/>
      <c r="M39" s="25"/>
      <c r="N39" s="25"/>
    </row>
    <row r="40" spans="1:14" x14ac:dyDescent="0.25">
      <c r="A40" s="98">
        <v>45967</v>
      </c>
      <c r="B40" s="25" t="s">
        <v>447</v>
      </c>
      <c r="C40" s="98">
        <f t="shared" si="17"/>
        <v>45990</v>
      </c>
      <c r="D40" s="98">
        <f t="shared" si="18"/>
        <v>45974</v>
      </c>
      <c r="E40" s="98">
        <f t="shared" si="19"/>
        <v>45981</v>
      </c>
      <c r="F40" s="98">
        <f t="shared" si="20"/>
        <v>45987</v>
      </c>
      <c r="G40" s="98">
        <f t="shared" si="21"/>
        <v>45975</v>
      </c>
      <c r="H40" s="98">
        <f t="shared" si="22"/>
        <v>45982</v>
      </c>
      <c r="I40" s="98"/>
      <c r="J40" s="99"/>
      <c r="K40" s="25"/>
      <c r="L40" s="25"/>
      <c r="M40" s="25"/>
      <c r="N40" s="25"/>
    </row>
    <row r="41" spans="1:14" x14ac:dyDescent="0.25">
      <c r="A41" s="98">
        <v>45967</v>
      </c>
      <c r="B41" s="25" t="s">
        <v>448</v>
      </c>
      <c r="C41" s="98">
        <f t="shared" si="17"/>
        <v>45990</v>
      </c>
      <c r="D41" s="98">
        <f t="shared" si="18"/>
        <v>45974</v>
      </c>
      <c r="E41" s="98">
        <f t="shared" si="19"/>
        <v>45981</v>
      </c>
      <c r="F41" s="98">
        <f t="shared" si="20"/>
        <v>45987</v>
      </c>
      <c r="G41" s="98">
        <f t="shared" si="21"/>
        <v>45975</v>
      </c>
      <c r="H41" s="98">
        <f t="shared" si="22"/>
        <v>45982</v>
      </c>
      <c r="I41" s="98"/>
      <c r="J41" s="99"/>
      <c r="K41" s="25"/>
      <c r="L41" s="25"/>
      <c r="M41" s="25"/>
      <c r="N41" s="25"/>
    </row>
    <row r="42" spans="1:14" x14ac:dyDescent="0.25">
      <c r="A42" s="98">
        <v>45967</v>
      </c>
      <c r="B42" s="25" t="s">
        <v>449</v>
      </c>
      <c r="C42" s="98">
        <f t="shared" si="17"/>
        <v>45990</v>
      </c>
      <c r="D42" s="98">
        <f t="shared" si="18"/>
        <v>45974</v>
      </c>
      <c r="E42" s="98">
        <f t="shared" si="19"/>
        <v>45981</v>
      </c>
      <c r="F42" s="98">
        <f t="shared" si="20"/>
        <v>45987</v>
      </c>
      <c r="G42" s="98">
        <f t="shared" si="21"/>
        <v>45975</v>
      </c>
      <c r="H42" s="98">
        <f t="shared" si="22"/>
        <v>45982</v>
      </c>
      <c r="I42" s="98"/>
      <c r="J42" s="99"/>
      <c r="K42" s="25"/>
      <c r="L42" s="25"/>
      <c r="M42" s="25"/>
      <c r="N42" s="25"/>
    </row>
    <row r="43" spans="1:14" x14ac:dyDescent="0.25">
      <c r="A43" s="98">
        <v>45967</v>
      </c>
      <c r="B43" s="25" t="s">
        <v>450</v>
      </c>
      <c r="C43" s="98">
        <f t="shared" si="17"/>
        <v>45990</v>
      </c>
      <c r="D43" s="98">
        <f t="shared" si="18"/>
        <v>45974</v>
      </c>
      <c r="E43" s="98">
        <f t="shared" si="19"/>
        <v>45981</v>
      </c>
      <c r="F43" s="98">
        <f t="shared" si="20"/>
        <v>45987</v>
      </c>
      <c r="G43" s="98">
        <f t="shared" si="21"/>
        <v>45975</v>
      </c>
      <c r="H43" s="98">
        <f t="shared" si="22"/>
        <v>45982</v>
      </c>
      <c r="I43" s="98"/>
      <c r="J43" s="99"/>
      <c r="K43" s="25"/>
      <c r="L43" s="25"/>
      <c r="M43" s="25"/>
      <c r="N43" s="25"/>
    </row>
    <row r="44" spans="1:14" x14ac:dyDescent="0.25">
      <c r="A44" s="98">
        <v>45968</v>
      </c>
      <c r="B44" s="25" t="s">
        <v>412</v>
      </c>
      <c r="C44" s="98">
        <f t="shared" si="17"/>
        <v>45991</v>
      </c>
      <c r="D44" s="98">
        <f t="shared" si="18"/>
        <v>45975</v>
      </c>
      <c r="E44" s="98">
        <f t="shared" si="19"/>
        <v>45982</v>
      </c>
      <c r="F44" s="98">
        <f t="shared" si="20"/>
        <v>45988</v>
      </c>
      <c r="G44" s="98">
        <f t="shared" si="21"/>
        <v>45976</v>
      </c>
      <c r="H44" s="98">
        <f t="shared" si="22"/>
        <v>45983</v>
      </c>
      <c r="I44" s="98"/>
      <c r="J44" s="99"/>
      <c r="K44" s="25"/>
      <c r="L44" s="25"/>
      <c r="M44" s="25"/>
      <c r="N44" s="25"/>
    </row>
    <row r="45" spans="1:14" x14ac:dyDescent="0.25">
      <c r="A45" s="98">
        <v>45968</v>
      </c>
      <c r="B45" s="25" t="s">
        <v>413</v>
      </c>
      <c r="C45" s="98">
        <f t="shared" si="17"/>
        <v>45991</v>
      </c>
      <c r="D45" s="98">
        <f t="shared" si="18"/>
        <v>45975</v>
      </c>
      <c r="E45" s="98">
        <f t="shared" si="19"/>
        <v>45982</v>
      </c>
      <c r="F45" s="98">
        <f t="shared" si="20"/>
        <v>45988</v>
      </c>
      <c r="G45" s="98">
        <f t="shared" si="21"/>
        <v>45976</v>
      </c>
      <c r="H45" s="98">
        <f t="shared" si="22"/>
        <v>45983</v>
      </c>
      <c r="I45" s="98"/>
      <c r="J45" s="99"/>
      <c r="K45" s="25"/>
      <c r="L45" s="25"/>
      <c r="M45" s="25"/>
      <c r="N45" s="25"/>
    </row>
    <row r="46" spans="1:14" x14ac:dyDescent="0.25">
      <c r="A46" s="98">
        <v>45968</v>
      </c>
      <c r="B46" s="25" t="s">
        <v>442</v>
      </c>
      <c r="C46" s="98">
        <f t="shared" si="17"/>
        <v>45991</v>
      </c>
      <c r="D46" s="98">
        <f t="shared" si="18"/>
        <v>45975</v>
      </c>
      <c r="E46" s="98">
        <f t="shared" si="19"/>
        <v>45982</v>
      </c>
      <c r="F46" s="98">
        <f t="shared" si="20"/>
        <v>45988</v>
      </c>
      <c r="G46" s="98">
        <f t="shared" si="21"/>
        <v>45976</v>
      </c>
      <c r="H46" s="98">
        <f t="shared" si="22"/>
        <v>45983</v>
      </c>
      <c r="I46" s="98"/>
      <c r="J46" s="99"/>
      <c r="K46" s="25"/>
      <c r="L46" s="25"/>
      <c r="M46" s="25"/>
      <c r="N46" s="25"/>
    </row>
    <row r="47" spans="1:14" x14ac:dyDescent="0.25">
      <c r="A47" s="98">
        <v>45968</v>
      </c>
      <c r="B47" s="25" t="s">
        <v>443</v>
      </c>
      <c r="C47" s="98">
        <f t="shared" si="17"/>
        <v>45991</v>
      </c>
      <c r="D47" s="98">
        <f t="shared" si="18"/>
        <v>45975</v>
      </c>
      <c r="E47" s="98">
        <f t="shared" si="19"/>
        <v>45982</v>
      </c>
      <c r="F47" s="98">
        <f t="shared" si="20"/>
        <v>45988</v>
      </c>
      <c r="G47" s="98">
        <f t="shared" si="21"/>
        <v>45976</v>
      </c>
      <c r="H47" s="98">
        <f t="shared" si="22"/>
        <v>45983</v>
      </c>
      <c r="I47" s="98"/>
      <c r="J47" s="99"/>
      <c r="K47" s="25"/>
      <c r="L47" s="25"/>
      <c r="M47" s="25"/>
      <c r="N47" s="25"/>
    </row>
    <row r="48" spans="1:14" x14ac:dyDescent="0.25">
      <c r="A48" s="98">
        <v>45968</v>
      </c>
      <c r="B48" s="25" t="s">
        <v>472</v>
      </c>
      <c r="C48" s="98">
        <f t="shared" si="17"/>
        <v>45991</v>
      </c>
      <c r="D48" s="98">
        <f t="shared" si="18"/>
        <v>45975</v>
      </c>
      <c r="E48" s="98">
        <f t="shared" si="19"/>
        <v>45982</v>
      </c>
      <c r="F48" s="98">
        <f t="shared" si="20"/>
        <v>45988</v>
      </c>
      <c r="G48" s="98">
        <f t="shared" si="21"/>
        <v>45976</v>
      </c>
      <c r="H48" s="98">
        <f t="shared" si="22"/>
        <v>45983</v>
      </c>
      <c r="I48" s="98"/>
      <c r="J48" s="99"/>
      <c r="K48" s="25"/>
      <c r="L48" s="25"/>
      <c r="M48" s="25"/>
      <c r="N48" s="25"/>
    </row>
    <row r="49" spans="1:14" x14ac:dyDescent="0.25">
      <c r="A49" s="98">
        <v>45968</v>
      </c>
      <c r="B49" s="25" t="s">
        <v>473</v>
      </c>
      <c r="C49" s="98">
        <f t="shared" si="17"/>
        <v>45991</v>
      </c>
      <c r="D49" s="98">
        <f t="shared" si="18"/>
        <v>45975</v>
      </c>
      <c r="E49" s="98">
        <f t="shared" si="19"/>
        <v>45982</v>
      </c>
      <c r="F49" s="98">
        <f t="shared" si="20"/>
        <v>45988</v>
      </c>
      <c r="G49" s="98">
        <f t="shared" si="21"/>
        <v>45976</v>
      </c>
      <c r="H49" s="98">
        <f t="shared" si="22"/>
        <v>45983</v>
      </c>
      <c r="I49" s="98"/>
      <c r="J49" s="99"/>
      <c r="K49" s="25"/>
      <c r="L49" s="25"/>
      <c r="M49" s="25"/>
      <c r="N49" s="25"/>
    </row>
    <row r="50" spans="1:14" x14ac:dyDescent="0.25">
      <c r="A50" s="98">
        <v>45968</v>
      </c>
      <c r="B50" s="25" t="s">
        <v>474</v>
      </c>
      <c r="C50" s="98">
        <f t="shared" si="17"/>
        <v>45991</v>
      </c>
      <c r="D50" s="98">
        <f t="shared" si="18"/>
        <v>45975</v>
      </c>
      <c r="E50" s="98">
        <f t="shared" si="19"/>
        <v>45982</v>
      </c>
      <c r="F50" s="98">
        <f t="shared" si="20"/>
        <v>45988</v>
      </c>
      <c r="G50" s="98">
        <f t="shared" si="21"/>
        <v>45976</v>
      </c>
      <c r="H50" s="98">
        <f t="shared" si="22"/>
        <v>45983</v>
      </c>
      <c r="I50" s="98"/>
      <c r="J50" s="99"/>
      <c r="K50" s="25"/>
      <c r="L50" s="25"/>
      <c r="M50" s="25"/>
      <c r="N50" s="25"/>
    </row>
    <row r="51" spans="1:14" x14ac:dyDescent="0.25">
      <c r="A51" s="98">
        <v>45969</v>
      </c>
      <c r="B51" s="25" t="s">
        <v>476</v>
      </c>
      <c r="C51" s="98">
        <f t="shared" si="17"/>
        <v>45992</v>
      </c>
      <c r="D51" s="98">
        <f t="shared" si="18"/>
        <v>45976</v>
      </c>
      <c r="E51" s="98">
        <f t="shared" si="19"/>
        <v>45983</v>
      </c>
      <c r="F51" s="98">
        <f t="shared" si="20"/>
        <v>45989</v>
      </c>
      <c r="G51" s="98">
        <f t="shared" si="21"/>
        <v>45977</v>
      </c>
      <c r="H51" s="98">
        <f t="shared" si="22"/>
        <v>45984</v>
      </c>
      <c r="I51" s="98"/>
      <c r="J51" s="99"/>
      <c r="K51" s="25"/>
      <c r="L51" s="25"/>
      <c r="M51" s="25"/>
      <c r="N51" s="25"/>
    </row>
    <row r="52" spans="1:14" x14ac:dyDescent="0.25">
      <c r="A52" s="98">
        <v>45969</v>
      </c>
      <c r="B52" s="25" t="s">
        <v>477</v>
      </c>
      <c r="C52" s="98">
        <f t="shared" si="17"/>
        <v>45992</v>
      </c>
      <c r="D52" s="98">
        <f t="shared" si="18"/>
        <v>45976</v>
      </c>
      <c r="E52" s="98">
        <f t="shared" si="19"/>
        <v>45983</v>
      </c>
      <c r="F52" s="98">
        <f t="shared" si="20"/>
        <v>45989</v>
      </c>
      <c r="G52" s="98">
        <f t="shared" si="21"/>
        <v>45977</v>
      </c>
      <c r="H52" s="98">
        <f t="shared" si="22"/>
        <v>45984</v>
      </c>
      <c r="I52" s="98"/>
      <c r="J52" s="99"/>
      <c r="K52" s="25"/>
      <c r="L52" s="25"/>
      <c r="M52" s="25"/>
      <c r="N52" s="25"/>
    </row>
    <row r="53" spans="1:14" x14ac:dyDescent="0.25">
      <c r="A53" s="98">
        <v>45969</v>
      </c>
      <c r="B53" s="25" t="s">
        <v>478</v>
      </c>
      <c r="C53" s="98">
        <f t="shared" si="17"/>
        <v>45992</v>
      </c>
      <c r="D53" s="98">
        <f t="shared" si="18"/>
        <v>45976</v>
      </c>
      <c r="E53" s="98">
        <f t="shared" si="19"/>
        <v>45983</v>
      </c>
      <c r="F53" s="98">
        <f t="shared" si="20"/>
        <v>45989</v>
      </c>
      <c r="G53" s="98">
        <f t="shared" si="21"/>
        <v>45977</v>
      </c>
      <c r="H53" s="98">
        <f t="shared" si="22"/>
        <v>45984</v>
      </c>
      <c r="I53" s="98"/>
      <c r="J53" s="99"/>
      <c r="K53" s="25"/>
      <c r="L53" s="25"/>
      <c r="M53" s="25"/>
      <c r="N53" s="25"/>
    </row>
    <row r="54" spans="1:14" x14ac:dyDescent="0.25">
      <c r="A54" s="98">
        <v>45969</v>
      </c>
      <c r="B54" s="25" t="s">
        <v>479</v>
      </c>
      <c r="C54" s="98">
        <f t="shared" si="17"/>
        <v>45992</v>
      </c>
      <c r="D54" s="98">
        <f t="shared" si="18"/>
        <v>45976</v>
      </c>
      <c r="E54" s="98">
        <f t="shared" si="19"/>
        <v>45983</v>
      </c>
      <c r="F54" s="98">
        <f t="shared" si="20"/>
        <v>45989</v>
      </c>
      <c r="G54" s="98">
        <f t="shared" si="21"/>
        <v>45977</v>
      </c>
      <c r="H54" s="98">
        <f t="shared" si="22"/>
        <v>45984</v>
      </c>
      <c r="I54" s="98"/>
      <c r="J54" s="99"/>
      <c r="K54" s="25"/>
      <c r="L54" s="25"/>
      <c r="M54" s="25"/>
      <c r="N54" s="25"/>
    </row>
    <row r="55" spans="1:14" x14ac:dyDescent="0.25">
      <c r="A55" s="98">
        <v>45969</v>
      </c>
      <c r="B55" s="25" t="s">
        <v>480</v>
      </c>
      <c r="C55" s="98">
        <f t="shared" si="17"/>
        <v>45992</v>
      </c>
      <c r="D55" s="98">
        <f t="shared" si="18"/>
        <v>45976</v>
      </c>
      <c r="E55" s="98">
        <f t="shared" si="19"/>
        <v>45983</v>
      </c>
      <c r="F55" s="98">
        <f t="shared" si="20"/>
        <v>45989</v>
      </c>
      <c r="G55" s="98">
        <f t="shared" si="21"/>
        <v>45977</v>
      </c>
      <c r="H55" s="98">
        <f t="shared" si="22"/>
        <v>45984</v>
      </c>
      <c r="I55" s="98"/>
      <c r="J55" s="99"/>
      <c r="K55" s="25"/>
      <c r="L55" s="25"/>
      <c r="M55" s="25"/>
      <c r="N55" s="25"/>
    </row>
    <row r="56" spans="1:14" x14ac:dyDescent="0.25">
      <c r="A56" s="98">
        <v>45969</v>
      </c>
      <c r="B56" s="25" t="s">
        <v>481</v>
      </c>
      <c r="C56" s="98">
        <f t="shared" si="17"/>
        <v>45992</v>
      </c>
      <c r="D56" s="98">
        <f t="shared" si="18"/>
        <v>45976</v>
      </c>
      <c r="E56" s="98">
        <f t="shared" si="19"/>
        <v>45983</v>
      </c>
      <c r="F56" s="98">
        <f t="shared" si="20"/>
        <v>45989</v>
      </c>
      <c r="G56" s="98">
        <f t="shared" si="21"/>
        <v>45977</v>
      </c>
      <c r="H56" s="98">
        <f t="shared" si="22"/>
        <v>45984</v>
      </c>
      <c r="I56" s="98"/>
      <c r="J56" s="99"/>
      <c r="K56" s="25"/>
      <c r="L56" s="25"/>
      <c r="M56" s="25"/>
      <c r="N56" s="25"/>
    </row>
    <row r="57" spans="1:14" x14ac:dyDescent="0.25">
      <c r="A57" s="98">
        <v>45969</v>
      </c>
      <c r="B57" s="25" t="s">
        <v>482</v>
      </c>
      <c r="C57" s="98">
        <f t="shared" si="17"/>
        <v>45992</v>
      </c>
      <c r="D57" s="98">
        <f t="shared" si="18"/>
        <v>45976</v>
      </c>
      <c r="E57" s="98">
        <f t="shared" si="19"/>
        <v>45983</v>
      </c>
      <c r="F57" s="98">
        <f t="shared" si="20"/>
        <v>45989</v>
      </c>
      <c r="G57" s="98">
        <f t="shared" si="21"/>
        <v>45977</v>
      </c>
      <c r="H57" s="98">
        <f t="shared" si="22"/>
        <v>45984</v>
      </c>
      <c r="I57" s="98"/>
      <c r="J57" s="99"/>
      <c r="K57" s="25"/>
      <c r="L57" s="25"/>
      <c r="M57" s="25"/>
      <c r="N57" s="25"/>
    </row>
    <row r="58" spans="1:14" x14ac:dyDescent="0.25">
      <c r="A58" s="98">
        <v>45970</v>
      </c>
      <c r="B58" s="25" t="s">
        <v>483</v>
      </c>
      <c r="C58" s="98">
        <f t="shared" si="17"/>
        <v>45993</v>
      </c>
      <c r="D58" s="98">
        <f t="shared" si="18"/>
        <v>45977</v>
      </c>
      <c r="E58" s="98">
        <f t="shared" si="19"/>
        <v>45984</v>
      </c>
      <c r="F58" s="98">
        <f t="shared" si="20"/>
        <v>45990</v>
      </c>
      <c r="G58" s="98">
        <f t="shared" si="21"/>
        <v>45978</v>
      </c>
      <c r="H58" s="98">
        <f t="shared" si="22"/>
        <v>45985</v>
      </c>
      <c r="I58" s="98"/>
      <c r="J58" s="99"/>
      <c r="K58" s="25"/>
      <c r="L58" s="25"/>
      <c r="M58" s="25"/>
      <c r="N58" s="25"/>
    </row>
    <row r="59" spans="1:14" x14ac:dyDescent="0.25">
      <c r="A59" s="98">
        <v>45970</v>
      </c>
      <c r="B59" s="25" t="s">
        <v>484</v>
      </c>
      <c r="C59" s="98">
        <f t="shared" si="17"/>
        <v>45993</v>
      </c>
      <c r="D59" s="98">
        <f t="shared" si="18"/>
        <v>45977</v>
      </c>
      <c r="E59" s="98">
        <f t="shared" si="19"/>
        <v>45984</v>
      </c>
      <c r="F59" s="98">
        <f t="shared" si="20"/>
        <v>45990</v>
      </c>
      <c r="G59" s="98">
        <f t="shared" si="21"/>
        <v>45978</v>
      </c>
      <c r="H59" s="98">
        <f t="shared" si="22"/>
        <v>45985</v>
      </c>
      <c r="I59" s="98"/>
      <c r="J59" s="99"/>
      <c r="K59" s="25"/>
      <c r="L59" s="25"/>
      <c r="M59" s="25"/>
      <c r="N59" s="25"/>
    </row>
    <row r="60" spans="1:14" x14ac:dyDescent="0.25">
      <c r="A60" s="98">
        <v>45970</v>
      </c>
      <c r="B60" s="25" t="s">
        <v>485</v>
      </c>
      <c r="C60" s="98">
        <f t="shared" si="17"/>
        <v>45993</v>
      </c>
      <c r="D60" s="98">
        <f t="shared" si="18"/>
        <v>45977</v>
      </c>
      <c r="E60" s="98">
        <f t="shared" si="19"/>
        <v>45984</v>
      </c>
      <c r="F60" s="98">
        <f t="shared" si="20"/>
        <v>45990</v>
      </c>
      <c r="G60" s="98">
        <f t="shared" si="21"/>
        <v>45978</v>
      </c>
      <c r="H60" s="98">
        <f t="shared" si="22"/>
        <v>45985</v>
      </c>
      <c r="I60" s="98"/>
      <c r="J60" s="99"/>
      <c r="K60" s="25"/>
      <c r="L60" s="25"/>
      <c r="M60" s="25"/>
      <c r="N60" s="25"/>
    </row>
    <row r="61" spans="1:14" x14ac:dyDescent="0.25">
      <c r="A61" s="98">
        <v>45970</v>
      </c>
      <c r="B61" s="25" t="s">
        <v>486</v>
      </c>
      <c r="C61" s="98">
        <f t="shared" si="17"/>
        <v>45993</v>
      </c>
      <c r="D61" s="98">
        <f t="shared" si="18"/>
        <v>45977</v>
      </c>
      <c r="E61" s="98">
        <f t="shared" si="19"/>
        <v>45984</v>
      </c>
      <c r="F61" s="98">
        <f t="shared" si="20"/>
        <v>45990</v>
      </c>
      <c r="G61" s="98">
        <f t="shared" si="21"/>
        <v>45978</v>
      </c>
      <c r="H61" s="98">
        <f t="shared" si="22"/>
        <v>45985</v>
      </c>
      <c r="I61" s="98"/>
      <c r="J61" s="99"/>
      <c r="K61" s="25"/>
      <c r="L61" s="25"/>
      <c r="M61" s="25"/>
      <c r="N61" s="25"/>
    </row>
    <row r="62" spans="1:14" x14ac:dyDescent="0.25">
      <c r="A62" s="98">
        <v>45970</v>
      </c>
      <c r="B62" s="25" t="s">
        <v>487</v>
      </c>
      <c r="C62" s="98">
        <f t="shared" si="17"/>
        <v>45993</v>
      </c>
      <c r="D62" s="98">
        <f t="shared" si="18"/>
        <v>45977</v>
      </c>
      <c r="E62" s="98">
        <f t="shared" si="19"/>
        <v>45984</v>
      </c>
      <c r="F62" s="98">
        <f t="shared" si="20"/>
        <v>45990</v>
      </c>
      <c r="G62" s="98">
        <f t="shared" si="21"/>
        <v>45978</v>
      </c>
      <c r="H62" s="98">
        <f t="shared" si="22"/>
        <v>45985</v>
      </c>
      <c r="I62" s="98"/>
      <c r="J62" s="99"/>
      <c r="K62" s="25"/>
      <c r="L62" s="25"/>
      <c r="M62" s="25"/>
      <c r="N62" s="25"/>
    </row>
    <row r="63" spans="1:14" x14ac:dyDescent="0.25">
      <c r="A63" s="98">
        <v>45970</v>
      </c>
      <c r="B63" s="25" t="s">
        <v>488</v>
      </c>
      <c r="C63" s="98">
        <f t="shared" si="17"/>
        <v>45993</v>
      </c>
      <c r="D63" s="98">
        <f t="shared" si="18"/>
        <v>45977</v>
      </c>
      <c r="E63" s="98">
        <f t="shared" si="19"/>
        <v>45984</v>
      </c>
      <c r="F63" s="98">
        <f t="shared" si="20"/>
        <v>45990</v>
      </c>
      <c r="G63" s="98">
        <f t="shared" si="21"/>
        <v>45978</v>
      </c>
      <c r="H63" s="98">
        <f t="shared" si="22"/>
        <v>45985</v>
      </c>
      <c r="I63" s="98"/>
      <c r="J63" s="99"/>
      <c r="K63" s="25"/>
      <c r="L63" s="25"/>
      <c r="M63" s="25"/>
      <c r="N63" s="25"/>
    </row>
    <row r="64" spans="1:14" x14ac:dyDescent="0.25">
      <c r="A64" s="98">
        <v>45970</v>
      </c>
      <c r="B64" s="25" t="s">
        <v>489</v>
      </c>
      <c r="C64" s="98">
        <f t="shared" si="17"/>
        <v>45993</v>
      </c>
      <c r="D64" s="98">
        <f t="shared" si="18"/>
        <v>45977</v>
      </c>
      <c r="E64" s="98">
        <f t="shared" si="19"/>
        <v>45984</v>
      </c>
      <c r="F64" s="98">
        <f t="shared" si="20"/>
        <v>45990</v>
      </c>
      <c r="G64" s="98">
        <f t="shared" si="21"/>
        <v>45978</v>
      </c>
      <c r="H64" s="98">
        <f t="shared" si="22"/>
        <v>45985</v>
      </c>
      <c r="I64" s="98"/>
      <c r="J64" s="99"/>
      <c r="K64" s="25"/>
      <c r="L64" s="25"/>
      <c r="M64" s="25"/>
      <c r="N64" s="25"/>
    </row>
    <row r="65" spans="1:14" x14ac:dyDescent="0.25">
      <c r="A65" s="98">
        <v>45971</v>
      </c>
      <c r="B65" s="25" t="s">
        <v>490</v>
      </c>
      <c r="C65" s="98">
        <f t="shared" si="17"/>
        <v>45994</v>
      </c>
      <c r="D65" s="98">
        <f t="shared" si="18"/>
        <v>45978</v>
      </c>
      <c r="E65" s="98">
        <f t="shared" si="19"/>
        <v>45985</v>
      </c>
      <c r="F65" s="98">
        <f t="shared" si="20"/>
        <v>45991</v>
      </c>
      <c r="G65" s="98">
        <f t="shared" si="21"/>
        <v>45979</v>
      </c>
      <c r="H65" s="98">
        <f t="shared" si="22"/>
        <v>45986</v>
      </c>
      <c r="I65" s="98"/>
      <c r="J65" s="99"/>
      <c r="K65" s="25"/>
      <c r="L65" s="25"/>
      <c r="M65" s="25"/>
      <c r="N65" s="25"/>
    </row>
    <row r="66" spans="1:14" x14ac:dyDescent="0.25">
      <c r="A66" s="98">
        <v>45971</v>
      </c>
      <c r="B66" s="25" t="s">
        <v>491</v>
      </c>
      <c r="C66" s="98">
        <f t="shared" si="17"/>
        <v>45994</v>
      </c>
      <c r="D66" s="98">
        <f t="shared" si="18"/>
        <v>45978</v>
      </c>
      <c r="E66" s="98">
        <f t="shared" si="19"/>
        <v>45985</v>
      </c>
      <c r="F66" s="98">
        <f t="shared" si="20"/>
        <v>45991</v>
      </c>
      <c r="G66" s="98">
        <f t="shared" si="21"/>
        <v>45979</v>
      </c>
      <c r="H66" s="98">
        <f t="shared" si="22"/>
        <v>45986</v>
      </c>
      <c r="I66" s="98"/>
      <c r="J66" s="99"/>
      <c r="K66" s="25"/>
      <c r="L66" s="25"/>
      <c r="M66" s="25"/>
      <c r="N66" s="25"/>
    </row>
    <row r="67" spans="1:14" x14ac:dyDescent="0.25">
      <c r="A67" s="98">
        <v>45971</v>
      </c>
      <c r="B67" s="25" t="s">
        <v>492</v>
      </c>
      <c r="C67" s="98">
        <f t="shared" si="17"/>
        <v>45994</v>
      </c>
      <c r="D67" s="98">
        <f t="shared" si="18"/>
        <v>45978</v>
      </c>
      <c r="E67" s="98">
        <f t="shared" si="19"/>
        <v>45985</v>
      </c>
      <c r="F67" s="98">
        <f t="shared" si="20"/>
        <v>45991</v>
      </c>
      <c r="G67" s="98">
        <f t="shared" si="21"/>
        <v>45979</v>
      </c>
      <c r="H67" s="98">
        <f t="shared" si="22"/>
        <v>45986</v>
      </c>
      <c r="I67" s="98"/>
      <c r="J67" s="99"/>
      <c r="K67" s="25"/>
      <c r="L67" s="25"/>
      <c r="M67" s="25"/>
      <c r="N67" s="25"/>
    </row>
    <row r="68" spans="1:14" x14ac:dyDescent="0.25">
      <c r="A68" s="98">
        <v>45971</v>
      </c>
      <c r="B68" s="25" t="s">
        <v>493</v>
      </c>
      <c r="C68" s="98">
        <f t="shared" si="17"/>
        <v>45994</v>
      </c>
      <c r="D68" s="98">
        <f t="shared" si="18"/>
        <v>45978</v>
      </c>
      <c r="E68" s="98">
        <f t="shared" si="19"/>
        <v>45985</v>
      </c>
      <c r="F68" s="98">
        <f t="shared" si="20"/>
        <v>45991</v>
      </c>
      <c r="G68" s="98">
        <f t="shared" si="21"/>
        <v>45979</v>
      </c>
      <c r="H68" s="98">
        <f t="shared" si="22"/>
        <v>45986</v>
      </c>
      <c r="I68" s="98"/>
      <c r="J68" s="99"/>
      <c r="K68" s="25"/>
      <c r="L68" s="25"/>
      <c r="M68" s="25"/>
      <c r="N68" s="25"/>
    </row>
    <row r="69" spans="1:14" x14ac:dyDescent="0.25">
      <c r="A69" s="98">
        <v>45971</v>
      </c>
      <c r="B69" s="25" t="s">
        <v>494</v>
      </c>
      <c r="C69" s="98">
        <f t="shared" si="17"/>
        <v>45994</v>
      </c>
      <c r="D69" s="98">
        <f t="shared" si="18"/>
        <v>45978</v>
      </c>
      <c r="E69" s="98">
        <f t="shared" si="19"/>
        <v>45985</v>
      </c>
      <c r="F69" s="98">
        <f t="shared" si="20"/>
        <v>45991</v>
      </c>
      <c r="G69" s="98">
        <f t="shared" si="21"/>
        <v>45979</v>
      </c>
      <c r="H69" s="98">
        <f t="shared" si="22"/>
        <v>45986</v>
      </c>
      <c r="I69" s="98"/>
      <c r="J69" s="99"/>
      <c r="K69" s="25"/>
      <c r="L69" s="25"/>
      <c r="M69" s="25"/>
      <c r="N69" s="25"/>
    </row>
    <row r="70" spans="1:14" x14ac:dyDescent="0.25">
      <c r="A70" s="98">
        <v>45971</v>
      </c>
      <c r="B70" s="25" t="s">
        <v>495</v>
      </c>
      <c r="C70" s="98">
        <f t="shared" si="17"/>
        <v>45994</v>
      </c>
      <c r="D70" s="98">
        <f t="shared" si="18"/>
        <v>45978</v>
      </c>
      <c r="E70" s="98">
        <f t="shared" si="19"/>
        <v>45985</v>
      </c>
      <c r="F70" s="98">
        <f t="shared" si="20"/>
        <v>45991</v>
      </c>
      <c r="G70" s="98">
        <f t="shared" si="21"/>
        <v>45979</v>
      </c>
      <c r="H70" s="98">
        <f t="shared" si="22"/>
        <v>45986</v>
      </c>
      <c r="I70" s="98"/>
      <c r="J70" s="99"/>
      <c r="K70" s="25"/>
      <c r="L70" s="25"/>
      <c r="M70" s="25"/>
      <c r="N70" s="25"/>
    </row>
    <row r="71" spans="1:14" x14ac:dyDescent="0.25">
      <c r="A71" s="98">
        <v>45971</v>
      </c>
      <c r="B71" s="25" t="s">
        <v>496</v>
      </c>
      <c r="C71" s="98">
        <f t="shared" si="17"/>
        <v>45994</v>
      </c>
      <c r="D71" s="98">
        <f t="shared" si="18"/>
        <v>45978</v>
      </c>
      <c r="E71" s="98">
        <f t="shared" si="19"/>
        <v>45985</v>
      </c>
      <c r="F71" s="98">
        <f t="shared" si="20"/>
        <v>45991</v>
      </c>
      <c r="G71" s="98">
        <f t="shared" si="21"/>
        <v>45979</v>
      </c>
      <c r="H71" s="98">
        <f t="shared" si="22"/>
        <v>45986</v>
      </c>
      <c r="I71" s="98"/>
      <c r="J71" s="99"/>
      <c r="K71" s="25"/>
      <c r="L71" s="25"/>
      <c r="M71" s="25"/>
      <c r="N71" s="25"/>
    </row>
    <row r="72" spans="1:14" x14ac:dyDescent="0.25">
      <c r="A72" s="98">
        <v>45972</v>
      </c>
      <c r="B72" s="25" t="s">
        <v>497</v>
      </c>
      <c r="C72" s="98">
        <f t="shared" si="17"/>
        <v>45995</v>
      </c>
      <c r="D72" s="98">
        <f t="shared" si="18"/>
        <v>45979</v>
      </c>
      <c r="E72" s="98">
        <f t="shared" si="19"/>
        <v>45986</v>
      </c>
      <c r="F72" s="98">
        <f t="shared" si="20"/>
        <v>45992</v>
      </c>
      <c r="G72" s="98">
        <f t="shared" si="21"/>
        <v>45980</v>
      </c>
      <c r="H72" s="98">
        <f t="shared" si="22"/>
        <v>45987</v>
      </c>
      <c r="I72" s="98"/>
      <c r="J72" s="99"/>
      <c r="K72" s="25"/>
      <c r="L72" s="25"/>
      <c r="M72" s="25"/>
      <c r="N72" s="25"/>
    </row>
    <row r="73" spans="1:14" x14ac:dyDescent="0.25">
      <c r="A73" s="98">
        <v>45972</v>
      </c>
      <c r="B73" s="25" t="s">
        <v>498</v>
      </c>
      <c r="C73" s="98">
        <f t="shared" si="17"/>
        <v>45995</v>
      </c>
      <c r="D73" s="98">
        <f t="shared" si="18"/>
        <v>45979</v>
      </c>
      <c r="E73" s="98">
        <f t="shared" si="19"/>
        <v>45986</v>
      </c>
      <c r="F73" s="98">
        <f t="shared" si="20"/>
        <v>45992</v>
      </c>
      <c r="G73" s="98">
        <f t="shared" si="21"/>
        <v>45980</v>
      </c>
      <c r="H73" s="98">
        <f t="shared" si="22"/>
        <v>45987</v>
      </c>
      <c r="I73" s="98"/>
      <c r="J73" s="99"/>
      <c r="K73" s="25"/>
      <c r="L73" s="25"/>
      <c r="M73" s="25"/>
      <c r="N73" s="25"/>
    </row>
    <row r="74" spans="1:14" x14ac:dyDescent="0.25">
      <c r="A74" s="98">
        <v>45972</v>
      </c>
      <c r="B74" s="25" t="s">
        <v>499</v>
      </c>
      <c r="C74" s="98">
        <f t="shared" si="17"/>
        <v>45995</v>
      </c>
      <c r="D74" s="98">
        <f t="shared" si="18"/>
        <v>45979</v>
      </c>
      <c r="E74" s="98">
        <f t="shared" si="19"/>
        <v>45986</v>
      </c>
      <c r="F74" s="98">
        <f t="shared" si="20"/>
        <v>45992</v>
      </c>
      <c r="G74" s="98">
        <f t="shared" si="21"/>
        <v>45980</v>
      </c>
      <c r="H74" s="98">
        <f t="shared" si="22"/>
        <v>45987</v>
      </c>
      <c r="I74" s="98"/>
      <c r="J74" s="99"/>
      <c r="K74" s="25"/>
      <c r="L74" s="25"/>
      <c r="M74" s="25"/>
      <c r="N74" s="25"/>
    </row>
    <row r="75" spans="1:14" x14ac:dyDescent="0.25">
      <c r="A75" s="98">
        <v>45972</v>
      </c>
      <c r="B75" s="25" t="s">
        <v>500</v>
      </c>
      <c r="C75" s="98">
        <f t="shared" si="17"/>
        <v>45995</v>
      </c>
      <c r="D75" s="98">
        <f t="shared" si="18"/>
        <v>45979</v>
      </c>
      <c r="E75" s="98">
        <f t="shared" si="19"/>
        <v>45986</v>
      </c>
      <c r="F75" s="98">
        <f t="shared" si="20"/>
        <v>45992</v>
      </c>
      <c r="G75" s="98">
        <f t="shared" si="21"/>
        <v>45980</v>
      </c>
      <c r="H75" s="98">
        <f t="shared" si="22"/>
        <v>45987</v>
      </c>
      <c r="I75" s="98"/>
      <c r="J75" s="99"/>
      <c r="K75" s="25"/>
      <c r="L75" s="25"/>
      <c r="M75" s="25"/>
      <c r="N75" s="25"/>
    </row>
    <row r="76" spans="1:14" x14ac:dyDescent="0.25">
      <c r="A76" s="98">
        <v>45972</v>
      </c>
      <c r="B76" s="25" t="s">
        <v>501</v>
      </c>
      <c r="C76" s="98">
        <f t="shared" si="17"/>
        <v>45995</v>
      </c>
      <c r="D76" s="98">
        <f t="shared" si="18"/>
        <v>45979</v>
      </c>
      <c r="E76" s="98">
        <f t="shared" si="19"/>
        <v>45986</v>
      </c>
      <c r="F76" s="98">
        <f t="shared" si="20"/>
        <v>45992</v>
      </c>
      <c r="G76" s="98">
        <f t="shared" si="21"/>
        <v>45980</v>
      </c>
      <c r="H76" s="98">
        <f t="shared" si="22"/>
        <v>45987</v>
      </c>
      <c r="I76" s="98"/>
      <c r="J76" s="99"/>
      <c r="K76" s="25"/>
      <c r="L76" s="25"/>
      <c r="M76" s="25"/>
      <c r="N76" s="25"/>
    </row>
    <row r="77" spans="1:14" x14ac:dyDescent="0.25">
      <c r="A77" s="98">
        <v>45972</v>
      </c>
      <c r="B77" s="25" t="s">
        <v>502</v>
      </c>
      <c r="C77" s="98">
        <f t="shared" si="17"/>
        <v>45995</v>
      </c>
      <c r="D77" s="98">
        <f t="shared" si="18"/>
        <v>45979</v>
      </c>
      <c r="E77" s="98">
        <f t="shared" si="19"/>
        <v>45986</v>
      </c>
      <c r="F77" s="98">
        <f t="shared" si="20"/>
        <v>45992</v>
      </c>
      <c r="G77" s="98">
        <f t="shared" si="21"/>
        <v>45980</v>
      </c>
      <c r="H77" s="98">
        <f t="shared" si="22"/>
        <v>45987</v>
      </c>
      <c r="I77" s="98"/>
      <c r="J77" s="99"/>
      <c r="K77" s="25"/>
      <c r="L77" s="25"/>
      <c r="M77" s="25"/>
      <c r="N77" s="25"/>
    </row>
    <row r="78" spans="1:14" x14ac:dyDescent="0.25">
      <c r="A78" s="98">
        <v>45972</v>
      </c>
      <c r="B78" s="25" t="s">
        <v>503</v>
      </c>
      <c r="C78" s="98">
        <f t="shared" si="17"/>
        <v>45995</v>
      </c>
      <c r="D78" s="98">
        <f t="shared" si="18"/>
        <v>45979</v>
      </c>
      <c r="E78" s="98">
        <f t="shared" si="19"/>
        <v>45986</v>
      </c>
      <c r="F78" s="98">
        <f t="shared" si="20"/>
        <v>45992</v>
      </c>
      <c r="G78" s="98">
        <f t="shared" si="21"/>
        <v>45980</v>
      </c>
      <c r="H78" s="98">
        <f t="shared" si="22"/>
        <v>45987</v>
      </c>
      <c r="I78" s="98"/>
      <c r="J78" s="99"/>
      <c r="K78" s="25"/>
      <c r="L78" s="25"/>
      <c r="M78" s="25"/>
      <c r="N78" s="25"/>
    </row>
    <row r="79" spans="1:14" x14ac:dyDescent="0.25">
      <c r="A79" s="98">
        <v>45973</v>
      </c>
      <c r="B79" s="25" t="s">
        <v>504</v>
      </c>
      <c r="C79" s="98">
        <f t="shared" si="17"/>
        <v>45996</v>
      </c>
      <c r="D79" s="98">
        <f t="shared" si="18"/>
        <v>45980</v>
      </c>
      <c r="E79" s="98">
        <f t="shared" si="19"/>
        <v>45987</v>
      </c>
      <c r="F79" s="98">
        <f t="shared" si="20"/>
        <v>45993</v>
      </c>
      <c r="G79" s="98">
        <f t="shared" si="21"/>
        <v>45981</v>
      </c>
      <c r="H79" s="98">
        <f t="shared" si="22"/>
        <v>45988</v>
      </c>
      <c r="I79" s="98"/>
      <c r="J79" s="99"/>
      <c r="K79" s="25"/>
      <c r="L79" s="25"/>
      <c r="M79" s="25"/>
      <c r="N79" s="25"/>
    </row>
    <row r="80" spans="1:14" x14ac:dyDescent="0.25">
      <c r="A80" s="98">
        <v>45973</v>
      </c>
      <c r="B80" s="25" t="s">
        <v>505</v>
      </c>
      <c r="C80" s="98">
        <f t="shared" ref="C80:C143" si="25">A80+23</f>
        <v>45996</v>
      </c>
      <c r="D80" s="98">
        <f t="shared" ref="D80:D143" si="26">A80+7</f>
        <v>45980</v>
      </c>
      <c r="E80" s="98">
        <f t="shared" ref="E80:E143" si="27">A80+14</f>
        <v>45987</v>
      </c>
      <c r="F80" s="98">
        <f t="shared" ref="F80:F143" si="28">A80+20</f>
        <v>45993</v>
      </c>
      <c r="G80" s="98">
        <f t="shared" ref="G80:G143" si="29">A80+8</f>
        <v>45981</v>
      </c>
      <c r="H80" s="98">
        <f t="shared" ref="H80:H143" si="30">A80+15</f>
        <v>45988</v>
      </c>
      <c r="I80" s="98"/>
      <c r="J80" s="99"/>
      <c r="K80" s="25"/>
      <c r="L80" s="25"/>
      <c r="M80" s="25"/>
      <c r="N80" s="25"/>
    </row>
    <row r="81" spans="1:14" x14ac:dyDescent="0.25">
      <c r="A81" s="98">
        <v>45973</v>
      </c>
      <c r="B81" s="25" t="s">
        <v>506</v>
      </c>
      <c r="C81" s="98">
        <f t="shared" si="25"/>
        <v>45996</v>
      </c>
      <c r="D81" s="98">
        <f t="shared" si="26"/>
        <v>45980</v>
      </c>
      <c r="E81" s="98">
        <f t="shared" si="27"/>
        <v>45987</v>
      </c>
      <c r="F81" s="98">
        <f t="shared" si="28"/>
        <v>45993</v>
      </c>
      <c r="G81" s="98">
        <f t="shared" si="29"/>
        <v>45981</v>
      </c>
      <c r="H81" s="98">
        <f t="shared" si="30"/>
        <v>45988</v>
      </c>
      <c r="I81" s="98"/>
      <c r="J81" s="99"/>
      <c r="K81" s="25"/>
      <c r="L81" s="25"/>
      <c r="M81" s="25"/>
      <c r="N81" s="25"/>
    </row>
    <row r="82" spans="1:14" x14ac:dyDescent="0.25">
      <c r="A82" s="98">
        <v>45973</v>
      </c>
      <c r="B82" s="25" t="s">
        <v>507</v>
      </c>
      <c r="C82" s="98">
        <f t="shared" si="25"/>
        <v>45996</v>
      </c>
      <c r="D82" s="98">
        <f t="shared" si="26"/>
        <v>45980</v>
      </c>
      <c r="E82" s="98">
        <f t="shared" si="27"/>
        <v>45987</v>
      </c>
      <c r="F82" s="98">
        <f t="shared" si="28"/>
        <v>45993</v>
      </c>
      <c r="G82" s="98">
        <f t="shared" si="29"/>
        <v>45981</v>
      </c>
      <c r="H82" s="98">
        <f t="shared" si="30"/>
        <v>45988</v>
      </c>
      <c r="I82" s="98"/>
      <c r="J82" s="99"/>
      <c r="K82" s="25"/>
      <c r="L82" s="25"/>
      <c r="M82" s="25"/>
      <c r="N82" s="25"/>
    </row>
    <row r="83" spans="1:14" x14ac:dyDescent="0.25">
      <c r="A83" s="98">
        <v>45973</v>
      </c>
      <c r="B83" s="25" t="s">
        <v>508</v>
      </c>
      <c r="C83" s="98">
        <f t="shared" si="25"/>
        <v>45996</v>
      </c>
      <c r="D83" s="98">
        <f t="shared" si="26"/>
        <v>45980</v>
      </c>
      <c r="E83" s="98">
        <f t="shared" si="27"/>
        <v>45987</v>
      </c>
      <c r="F83" s="98">
        <f t="shared" si="28"/>
        <v>45993</v>
      </c>
      <c r="G83" s="98">
        <f t="shared" si="29"/>
        <v>45981</v>
      </c>
      <c r="H83" s="98">
        <f t="shared" si="30"/>
        <v>45988</v>
      </c>
      <c r="I83" s="98"/>
      <c r="J83" s="99"/>
      <c r="K83" s="25"/>
      <c r="L83" s="25"/>
      <c r="M83" s="25"/>
      <c r="N83" s="25"/>
    </row>
    <row r="84" spans="1:14" x14ac:dyDescent="0.25">
      <c r="A84" s="98">
        <v>45973</v>
      </c>
      <c r="B84" s="25" t="s">
        <v>509</v>
      </c>
      <c r="C84" s="98">
        <f t="shared" si="25"/>
        <v>45996</v>
      </c>
      <c r="D84" s="98">
        <f t="shared" si="26"/>
        <v>45980</v>
      </c>
      <c r="E84" s="98">
        <f t="shared" si="27"/>
        <v>45987</v>
      </c>
      <c r="F84" s="98">
        <f t="shared" si="28"/>
        <v>45993</v>
      </c>
      <c r="G84" s="98">
        <f t="shared" si="29"/>
        <v>45981</v>
      </c>
      <c r="H84" s="98">
        <f t="shared" si="30"/>
        <v>45988</v>
      </c>
      <c r="I84" s="98"/>
      <c r="J84" s="99"/>
      <c r="K84" s="25"/>
      <c r="L84" s="25"/>
      <c r="M84" s="25"/>
      <c r="N84" s="25"/>
    </row>
    <row r="85" spans="1:14" x14ac:dyDescent="0.25">
      <c r="A85" s="98">
        <v>45973</v>
      </c>
      <c r="B85" s="25" t="s">
        <v>510</v>
      </c>
      <c r="C85" s="98">
        <f t="shared" si="25"/>
        <v>45996</v>
      </c>
      <c r="D85" s="98">
        <f t="shared" si="26"/>
        <v>45980</v>
      </c>
      <c r="E85" s="98">
        <f t="shared" si="27"/>
        <v>45987</v>
      </c>
      <c r="F85" s="98">
        <f t="shared" si="28"/>
        <v>45993</v>
      </c>
      <c r="G85" s="98">
        <f t="shared" si="29"/>
        <v>45981</v>
      </c>
      <c r="H85" s="98">
        <f t="shared" si="30"/>
        <v>45988</v>
      </c>
      <c r="I85" s="98"/>
      <c r="J85" s="99"/>
      <c r="K85" s="25"/>
      <c r="L85" s="25"/>
      <c r="M85" s="25"/>
      <c r="N85" s="25"/>
    </row>
    <row r="86" spans="1:14" x14ac:dyDescent="0.25">
      <c r="A86" s="98">
        <v>45974</v>
      </c>
      <c r="B86" s="25" t="s">
        <v>552</v>
      </c>
      <c r="C86" s="98">
        <f t="shared" si="25"/>
        <v>45997</v>
      </c>
      <c r="D86" s="98">
        <f t="shared" si="26"/>
        <v>45981</v>
      </c>
      <c r="E86" s="98">
        <f t="shared" si="27"/>
        <v>45988</v>
      </c>
      <c r="F86" s="98">
        <f t="shared" si="28"/>
        <v>45994</v>
      </c>
      <c r="G86" s="98">
        <f t="shared" si="29"/>
        <v>45982</v>
      </c>
      <c r="H86" s="98">
        <f t="shared" si="30"/>
        <v>45989</v>
      </c>
      <c r="I86" s="98"/>
      <c r="J86" s="99"/>
      <c r="K86" s="25"/>
      <c r="L86" s="25"/>
      <c r="M86" s="25"/>
      <c r="N86" s="25"/>
    </row>
    <row r="87" spans="1:14" x14ac:dyDescent="0.25">
      <c r="A87" s="98">
        <v>45974</v>
      </c>
      <c r="B87" s="25" t="s">
        <v>553</v>
      </c>
      <c r="C87" s="98">
        <f t="shared" si="25"/>
        <v>45997</v>
      </c>
      <c r="D87" s="98">
        <f t="shared" si="26"/>
        <v>45981</v>
      </c>
      <c r="E87" s="98">
        <f t="shared" si="27"/>
        <v>45988</v>
      </c>
      <c r="F87" s="98">
        <f t="shared" si="28"/>
        <v>45994</v>
      </c>
      <c r="G87" s="98">
        <f t="shared" si="29"/>
        <v>45982</v>
      </c>
      <c r="H87" s="98">
        <f t="shared" si="30"/>
        <v>45989</v>
      </c>
      <c r="I87" s="98"/>
      <c r="J87" s="99"/>
      <c r="K87" s="25"/>
      <c r="L87" s="25"/>
      <c r="M87" s="25"/>
      <c r="N87" s="25"/>
    </row>
    <row r="88" spans="1:14" x14ac:dyDescent="0.25">
      <c r="A88" s="98">
        <v>45974</v>
      </c>
      <c r="B88" s="25" t="s">
        <v>554</v>
      </c>
      <c r="C88" s="98">
        <f t="shared" si="25"/>
        <v>45997</v>
      </c>
      <c r="D88" s="98">
        <f t="shared" si="26"/>
        <v>45981</v>
      </c>
      <c r="E88" s="98">
        <f t="shared" si="27"/>
        <v>45988</v>
      </c>
      <c r="F88" s="98">
        <f t="shared" si="28"/>
        <v>45994</v>
      </c>
      <c r="G88" s="98">
        <f t="shared" si="29"/>
        <v>45982</v>
      </c>
      <c r="H88" s="98">
        <f t="shared" si="30"/>
        <v>45989</v>
      </c>
      <c r="I88" s="98"/>
      <c r="J88" s="99"/>
      <c r="K88" s="25"/>
      <c r="L88" s="25"/>
      <c r="M88" s="25"/>
      <c r="N88" s="25"/>
    </row>
    <row r="89" spans="1:14" x14ac:dyDescent="0.25">
      <c r="A89" s="98">
        <v>45974</v>
      </c>
      <c r="B89" s="25" t="s">
        <v>555</v>
      </c>
      <c r="C89" s="98">
        <f t="shared" si="25"/>
        <v>45997</v>
      </c>
      <c r="D89" s="98">
        <f t="shared" si="26"/>
        <v>45981</v>
      </c>
      <c r="E89" s="98">
        <f t="shared" si="27"/>
        <v>45988</v>
      </c>
      <c r="F89" s="98">
        <f t="shared" si="28"/>
        <v>45994</v>
      </c>
      <c r="G89" s="98">
        <f t="shared" si="29"/>
        <v>45982</v>
      </c>
      <c r="H89" s="98">
        <f t="shared" si="30"/>
        <v>45989</v>
      </c>
      <c r="I89" s="98"/>
      <c r="J89" s="99"/>
      <c r="K89" s="25"/>
      <c r="L89" s="25"/>
      <c r="M89" s="25"/>
      <c r="N89" s="25"/>
    </row>
    <row r="90" spans="1:14" x14ac:dyDescent="0.25">
      <c r="A90" s="98">
        <v>45974</v>
      </c>
      <c r="B90" s="25" t="s">
        <v>556</v>
      </c>
      <c r="C90" s="98">
        <f t="shared" si="25"/>
        <v>45997</v>
      </c>
      <c r="D90" s="98">
        <f t="shared" si="26"/>
        <v>45981</v>
      </c>
      <c r="E90" s="98">
        <f t="shared" si="27"/>
        <v>45988</v>
      </c>
      <c r="F90" s="98">
        <f t="shared" si="28"/>
        <v>45994</v>
      </c>
      <c r="G90" s="98">
        <f t="shared" si="29"/>
        <v>45982</v>
      </c>
      <c r="H90" s="98">
        <f t="shared" si="30"/>
        <v>45989</v>
      </c>
      <c r="I90" s="98"/>
      <c r="J90" s="99"/>
      <c r="K90" s="25"/>
      <c r="L90" s="25"/>
      <c r="M90" s="25"/>
      <c r="N90" s="25"/>
    </row>
    <row r="91" spans="1:14" x14ac:dyDescent="0.25">
      <c r="A91" s="98">
        <v>45974</v>
      </c>
      <c r="B91" s="25" t="s">
        <v>557</v>
      </c>
      <c r="C91" s="98">
        <f t="shared" si="25"/>
        <v>45997</v>
      </c>
      <c r="D91" s="98">
        <f t="shared" si="26"/>
        <v>45981</v>
      </c>
      <c r="E91" s="98">
        <f t="shared" si="27"/>
        <v>45988</v>
      </c>
      <c r="F91" s="98">
        <f t="shared" si="28"/>
        <v>45994</v>
      </c>
      <c r="G91" s="98">
        <f t="shared" si="29"/>
        <v>45982</v>
      </c>
      <c r="H91" s="98">
        <f t="shared" si="30"/>
        <v>45989</v>
      </c>
      <c r="I91" s="98"/>
      <c r="J91" s="99"/>
      <c r="K91" s="25"/>
      <c r="L91" s="25"/>
      <c r="M91" s="25"/>
      <c r="N91" s="25"/>
    </row>
    <row r="92" spans="1:14" x14ac:dyDescent="0.25">
      <c r="A92" s="98">
        <v>45974</v>
      </c>
      <c r="B92" s="25" t="s">
        <v>558</v>
      </c>
      <c r="C92" s="98">
        <f t="shared" si="25"/>
        <v>45997</v>
      </c>
      <c r="D92" s="98">
        <f t="shared" si="26"/>
        <v>45981</v>
      </c>
      <c r="E92" s="98">
        <f t="shared" si="27"/>
        <v>45988</v>
      </c>
      <c r="F92" s="98">
        <f t="shared" si="28"/>
        <v>45994</v>
      </c>
      <c r="G92" s="98">
        <f t="shared" si="29"/>
        <v>45982</v>
      </c>
      <c r="H92" s="98">
        <f t="shared" si="30"/>
        <v>45989</v>
      </c>
      <c r="I92" s="98"/>
      <c r="J92" s="99"/>
      <c r="K92" s="25"/>
      <c r="L92" s="25"/>
      <c r="M92" s="25"/>
      <c r="N92" s="25"/>
    </row>
    <row r="93" spans="1:14" x14ac:dyDescent="0.25">
      <c r="A93" s="98">
        <v>45975</v>
      </c>
      <c r="B93" s="25" t="s">
        <v>545</v>
      </c>
      <c r="C93" s="98">
        <f t="shared" si="25"/>
        <v>45998</v>
      </c>
      <c r="D93" s="98">
        <f t="shared" si="26"/>
        <v>45982</v>
      </c>
      <c r="E93" s="98">
        <f t="shared" si="27"/>
        <v>45989</v>
      </c>
      <c r="F93" s="98">
        <f t="shared" si="28"/>
        <v>45995</v>
      </c>
      <c r="G93" s="98">
        <f t="shared" si="29"/>
        <v>45983</v>
      </c>
      <c r="H93" s="98">
        <f t="shared" si="30"/>
        <v>45990</v>
      </c>
      <c r="I93" s="98"/>
      <c r="J93" s="99"/>
      <c r="K93" s="25"/>
      <c r="L93" s="25"/>
      <c r="M93" s="25"/>
      <c r="N93" s="25"/>
    </row>
    <row r="94" spans="1:14" x14ac:dyDescent="0.25">
      <c r="A94" s="98">
        <v>45975</v>
      </c>
      <c r="B94" s="25" t="s">
        <v>546</v>
      </c>
      <c r="C94" s="98">
        <f t="shared" si="25"/>
        <v>45998</v>
      </c>
      <c r="D94" s="98">
        <f t="shared" si="26"/>
        <v>45982</v>
      </c>
      <c r="E94" s="98">
        <f t="shared" si="27"/>
        <v>45989</v>
      </c>
      <c r="F94" s="98">
        <f t="shared" si="28"/>
        <v>45995</v>
      </c>
      <c r="G94" s="98">
        <f t="shared" si="29"/>
        <v>45983</v>
      </c>
      <c r="H94" s="98">
        <f t="shared" si="30"/>
        <v>45990</v>
      </c>
      <c r="I94" s="98"/>
      <c r="J94" s="99"/>
      <c r="K94" s="25"/>
      <c r="L94" s="25"/>
      <c r="M94" s="25"/>
      <c r="N94" s="25"/>
    </row>
    <row r="95" spans="1:14" x14ac:dyDescent="0.25">
      <c r="A95" s="98">
        <v>45975</v>
      </c>
      <c r="B95" s="25" t="s">
        <v>547</v>
      </c>
      <c r="C95" s="98">
        <f t="shared" si="25"/>
        <v>45998</v>
      </c>
      <c r="D95" s="98">
        <f t="shared" si="26"/>
        <v>45982</v>
      </c>
      <c r="E95" s="98">
        <f t="shared" si="27"/>
        <v>45989</v>
      </c>
      <c r="F95" s="98">
        <f t="shared" si="28"/>
        <v>45995</v>
      </c>
      <c r="G95" s="98">
        <f t="shared" si="29"/>
        <v>45983</v>
      </c>
      <c r="H95" s="98">
        <f t="shared" si="30"/>
        <v>45990</v>
      </c>
      <c r="I95" s="98"/>
      <c r="J95" s="99"/>
      <c r="K95" s="25"/>
      <c r="L95" s="25"/>
      <c r="M95" s="25"/>
      <c r="N95" s="25"/>
    </row>
    <row r="96" spans="1:14" x14ac:dyDescent="0.25">
      <c r="A96" s="98">
        <v>45975</v>
      </c>
      <c r="B96" s="25" t="s">
        <v>548</v>
      </c>
      <c r="C96" s="98">
        <f t="shared" si="25"/>
        <v>45998</v>
      </c>
      <c r="D96" s="98">
        <f t="shared" si="26"/>
        <v>45982</v>
      </c>
      <c r="E96" s="98">
        <f t="shared" si="27"/>
        <v>45989</v>
      </c>
      <c r="F96" s="98">
        <f t="shared" si="28"/>
        <v>45995</v>
      </c>
      <c r="G96" s="98">
        <f t="shared" si="29"/>
        <v>45983</v>
      </c>
      <c r="H96" s="98">
        <f t="shared" si="30"/>
        <v>45990</v>
      </c>
      <c r="I96" s="98"/>
      <c r="J96" s="99"/>
      <c r="K96" s="25"/>
      <c r="L96" s="25"/>
      <c r="M96" s="25"/>
      <c r="N96" s="25"/>
    </row>
    <row r="97" spans="1:14" x14ac:dyDescent="0.25">
      <c r="A97" s="98">
        <v>45975</v>
      </c>
      <c r="B97" s="25" t="s">
        <v>549</v>
      </c>
      <c r="C97" s="98">
        <f t="shared" si="25"/>
        <v>45998</v>
      </c>
      <c r="D97" s="98">
        <f t="shared" si="26"/>
        <v>45982</v>
      </c>
      <c r="E97" s="98">
        <f t="shared" si="27"/>
        <v>45989</v>
      </c>
      <c r="F97" s="98">
        <f t="shared" si="28"/>
        <v>45995</v>
      </c>
      <c r="G97" s="98">
        <f t="shared" si="29"/>
        <v>45983</v>
      </c>
      <c r="H97" s="98">
        <f t="shared" si="30"/>
        <v>45990</v>
      </c>
      <c r="I97" s="98"/>
      <c r="J97" s="99"/>
      <c r="K97" s="25"/>
      <c r="L97" s="25"/>
      <c r="M97" s="25"/>
      <c r="N97" s="25"/>
    </row>
    <row r="98" spans="1:14" x14ac:dyDescent="0.25">
      <c r="A98" s="98">
        <v>45975</v>
      </c>
      <c r="B98" s="25" t="s">
        <v>550</v>
      </c>
      <c r="C98" s="98">
        <f t="shared" si="25"/>
        <v>45998</v>
      </c>
      <c r="D98" s="98">
        <f t="shared" si="26"/>
        <v>45982</v>
      </c>
      <c r="E98" s="98">
        <f t="shared" si="27"/>
        <v>45989</v>
      </c>
      <c r="F98" s="98">
        <f t="shared" si="28"/>
        <v>45995</v>
      </c>
      <c r="G98" s="98">
        <f t="shared" si="29"/>
        <v>45983</v>
      </c>
      <c r="H98" s="98">
        <f t="shared" si="30"/>
        <v>45990</v>
      </c>
      <c r="I98" s="98"/>
      <c r="J98" s="99"/>
      <c r="K98" s="25"/>
      <c r="L98" s="25"/>
      <c r="M98" s="25"/>
      <c r="N98" s="25"/>
    </row>
    <row r="99" spans="1:14" x14ac:dyDescent="0.25">
      <c r="A99" s="98">
        <v>45975</v>
      </c>
      <c r="B99" s="25" t="s">
        <v>551</v>
      </c>
      <c r="C99" s="98">
        <f t="shared" si="25"/>
        <v>45998</v>
      </c>
      <c r="D99" s="98">
        <f t="shared" si="26"/>
        <v>45982</v>
      </c>
      <c r="E99" s="98">
        <f t="shared" si="27"/>
        <v>45989</v>
      </c>
      <c r="F99" s="98">
        <f t="shared" si="28"/>
        <v>45995</v>
      </c>
      <c r="G99" s="98">
        <f t="shared" si="29"/>
        <v>45983</v>
      </c>
      <c r="H99" s="98">
        <f t="shared" si="30"/>
        <v>45990</v>
      </c>
      <c r="I99" s="98"/>
      <c r="J99" s="99"/>
      <c r="K99" s="25"/>
      <c r="L99" s="25"/>
      <c r="M99" s="25"/>
      <c r="N99" s="25"/>
    </row>
    <row r="100" spans="1:14" x14ac:dyDescent="0.25">
      <c r="A100" s="98">
        <v>45976</v>
      </c>
      <c r="B100" s="25" t="s">
        <v>537</v>
      </c>
      <c r="C100" s="98">
        <f t="shared" si="25"/>
        <v>45999</v>
      </c>
      <c r="D100" s="98">
        <f t="shared" si="26"/>
        <v>45983</v>
      </c>
      <c r="E100" s="98">
        <f t="shared" si="27"/>
        <v>45990</v>
      </c>
      <c r="F100" s="98">
        <f t="shared" si="28"/>
        <v>45996</v>
      </c>
      <c r="G100" s="98">
        <f t="shared" si="29"/>
        <v>45984</v>
      </c>
      <c r="H100" s="98">
        <f t="shared" si="30"/>
        <v>45991</v>
      </c>
      <c r="I100" s="98"/>
      <c r="J100" s="99"/>
      <c r="K100" s="25"/>
      <c r="L100" s="25"/>
      <c r="M100" s="25"/>
      <c r="N100" s="25"/>
    </row>
    <row r="101" spans="1:14" x14ac:dyDescent="0.25">
      <c r="A101" s="98">
        <v>45976</v>
      </c>
      <c r="B101" s="25" t="s">
        <v>538</v>
      </c>
      <c r="C101" s="98">
        <f t="shared" si="25"/>
        <v>45999</v>
      </c>
      <c r="D101" s="98">
        <f t="shared" si="26"/>
        <v>45983</v>
      </c>
      <c r="E101" s="98">
        <f t="shared" si="27"/>
        <v>45990</v>
      </c>
      <c r="F101" s="98">
        <f t="shared" si="28"/>
        <v>45996</v>
      </c>
      <c r="G101" s="98">
        <f t="shared" si="29"/>
        <v>45984</v>
      </c>
      <c r="H101" s="98">
        <f t="shared" si="30"/>
        <v>45991</v>
      </c>
      <c r="I101" s="98"/>
      <c r="J101" s="99"/>
      <c r="K101" s="25"/>
      <c r="L101" s="25"/>
      <c r="M101" s="25"/>
      <c r="N101" s="25"/>
    </row>
    <row r="102" spans="1:14" x14ac:dyDescent="0.25">
      <c r="A102" s="98">
        <v>45976</v>
      </c>
      <c r="B102" s="25" t="s">
        <v>539</v>
      </c>
      <c r="C102" s="98">
        <f t="shared" si="25"/>
        <v>45999</v>
      </c>
      <c r="D102" s="98">
        <f t="shared" si="26"/>
        <v>45983</v>
      </c>
      <c r="E102" s="98">
        <f t="shared" si="27"/>
        <v>45990</v>
      </c>
      <c r="F102" s="98">
        <f t="shared" si="28"/>
        <v>45996</v>
      </c>
      <c r="G102" s="98">
        <f t="shared" si="29"/>
        <v>45984</v>
      </c>
      <c r="H102" s="98">
        <f t="shared" si="30"/>
        <v>45991</v>
      </c>
      <c r="I102" s="98"/>
      <c r="J102" s="99"/>
      <c r="K102" s="25"/>
      <c r="L102" s="25"/>
      <c r="M102" s="25"/>
      <c r="N102" s="25"/>
    </row>
    <row r="103" spans="1:14" x14ac:dyDescent="0.25">
      <c r="A103" s="98">
        <v>45976</v>
      </c>
      <c r="B103" s="25" t="s">
        <v>540</v>
      </c>
      <c r="C103" s="98">
        <f t="shared" si="25"/>
        <v>45999</v>
      </c>
      <c r="D103" s="98">
        <f t="shared" si="26"/>
        <v>45983</v>
      </c>
      <c r="E103" s="98">
        <f t="shared" si="27"/>
        <v>45990</v>
      </c>
      <c r="F103" s="98">
        <f t="shared" si="28"/>
        <v>45996</v>
      </c>
      <c r="G103" s="98">
        <f t="shared" si="29"/>
        <v>45984</v>
      </c>
      <c r="H103" s="98">
        <f t="shared" si="30"/>
        <v>45991</v>
      </c>
      <c r="I103" s="98"/>
      <c r="J103" s="99"/>
      <c r="K103" s="25"/>
      <c r="L103" s="25"/>
      <c r="M103" s="25"/>
      <c r="N103" s="25"/>
    </row>
    <row r="104" spans="1:14" x14ac:dyDescent="0.25">
      <c r="A104" s="98">
        <v>45976</v>
      </c>
      <c r="B104" s="25" t="s">
        <v>541</v>
      </c>
      <c r="C104" s="98">
        <f t="shared" si="25"/>
        <v>45999</v>
      </c>
      <c r="D104" s="98">
        <f t="shared" si="26"/>
        <v>45983</v>
      </c>
      <c r="E104" s="98">
        <f t="shared" si="27"/>
        <v>45990</v>
      </c>
      <c r="F104" s="98">
        <f t="shared" si="28"/>
        <v>45996</v>
      </c>
      <c r="G104" s="98">
        <f t="shared" si="29"/>
        <v>45984</v>
      </c>
      <c r="H104" s="98">
        <f t="shared" si="30"/>
        <v>45991</v>
      </c>
      <c r="I104" s="98"/>
      <c r="J104" s="99"/>
      <c r="K104" s="25"/>
      <c r="L104" s="25"/>
      <c r="M104" s="25"/>
      <c r="N104" s="25"/>
    </row>
    <row r="105" spans="1:14" x14ac:dyDescent="0.25">
      <c r="A105" s="98">
        <v>45976</v>
      </c>
      <c r="B105" s="25" t="s">
        <v>542</v>
      </c>
      <c r="C105" s="98">
        <f t="shared" si="25"/>
        <v>45999</v>
      </c>
      <c r="D105" s="98">
        <f t="shared" si="26"/>
        <v>45983</v>
      </c>
      <c r="E105" s="98">
        <f t="shared" si="27"/>
        <v>45990</v>
      </c>
      <c r="F105" s="98">
        <f t="shared" si="28"/>
        <v>45996</v>
      </c>
      <c r="G105" s="98">
        <f t="shared" si="29"/>
        <v>45984</v>
      </c>
      <c r="H105" s="98">
        <f t="shared" si="30"/>
        <v>45991</v>
      </c>
      <c r="I105" s="98"/>
      <c r="J105" s="99"/>
      <c r="K105" s="25"/>
      <c r="L105" s="25"/>
      <c r="M105" s="25"/>
      <c r="N105" s="25"/>
    </row>
    <row r="106" spans="1:14" x14ac:dyDescent="0.25">
      <c r="A106" s="98">
        <v>45976</v>
      </c>
      <c r="B106" s="25" t="s">
        <v>543</v>
      </c>
      <c r="C106" s="98">
        <f t="shared" si="25"/>
        <v>45999</v>
      </c>
      <c r="D106" s="98">
        <f t="shared" si="26"/>
        <v>45983</v>
      </c>
      <c r="E106" s="98">
        <f t="shared" si="27"/>
        <v>45990</v>
      </c>
      <c r="F106" s="98">
        <f t="shared" si="28"/>
        <v>45996</v>
      </c>
      <c r="G106" s="98">
        <f t="shared" si="29"/>
        <v>45984</v>
      </c>
      <c r="H106" s="98">
        <f t="shared" si="30"/>
        <v>45991</v>
      </c>
      <c r="I106" s="98"/>
      <c r="J106" s="99"/>
      <c r="K106" s="25"/>
      <c r="L106" s="25"/>
      <c r="M106" s="25"/>
      <c r="N106" s="25"/>
    </row>
    <row r="107" spans="1:14" x14ac:dyDescent="0.25">
      <c r="A107" s="98">
        <v>45976</v>
      </c>
      <c r="B107" s="25" t="s">
        <v>544</v>
      </c>
      <c r="C107" s="98">
        <f t="shared" si="25"/>
        <v>45999</v>
      </c>
      <c r="D107" s="98">
        <f t="shared" si="26"/>
        <v>45983</v>
      </c>
      <c r="E107" s="98">
        <f t="shared" si="27"/>
        <v>45990</v>
      </c>
      <c r="F107" s="98">
        <f t="shared" si="28"/>
        <v>45996</v>
      </c>
      <c r="G107" s="98">
        <f t="shared" si="29"/>
        <v>45984</v>
      </c>
      <c r="H107" s="98">
        <f t="shared" si="30"/>
        <v>45991</v>
      </c>
      <c r="I107" s="98"/>
      <c r="J107" s="99"/>
      <c r="K107" s="25"/>
      <c r="L107" s="25"/>
      <c r="M107" s="25"/>
      <c r="N107" s="25"/>
    </row>
    <row r="108" spans="1:14" x14ac:dyDescent="0.25">
      <c r="A108" s="98">
        <v>45977</v>
      </c>
      <c r="B108" s="25" t="s">
        <v>513</v>
      </c>
      <c r="C108" s="98">
        <f t="shared" si="25"/>
        <v>46000</v>
      </c>
      <c r="D108" s="98">
        <f t="shared" si="26"/>
        <v>45984</v>
      </c>
      <c r="E108" s="98">
        <f t="shared" si="27"/>
        <v>45991</v>
      </c>
      <c r="F108" s="98">
        <f t="shared" si="28"/>
        <v>45997</v>
      </c>
      <c r="G108" s="98">
        <f t="shared" si="29"/>
        <v>45985</v>
      </c>
      <c r="H108" s="98">
        <f t="shared" si="30"/>
        <v>45992</v>
      </c>
      <c r="I108" s="98"/>
      <c r="J108" s="99"/>
      <c r="K108" s="25"/>
      <c r="L108" s="25"/>
      <c r="M108" s="25"/>
      <c r="N108" s="25"/>
    </row>
    <row r="109" spans="1:14" x14ac:dyDescent="0.25">
      <c r="A109" s="98">
        <v>45977</v>
      </c>
      <c r="B109" s="25" t="s">
        <v>514</v>
      </c>
      <c r="C109" s="98">
        <f t="shared" si="25"/>
        <v>46000</v>
      </c>
      <c r="D109" s="98">
        <f t="shared" si="26"/>
        <v>45984</v>
      </c>
      <c r="E109" s="98">
        <f t="shared" si="27"/>
        <v>45991</v>
      </c>
      <c r="F109" s="98">
        <f t="shared" si="28"/>
        <v>45997</v>
      </c>
      <c r="G109" s="98">
        <f t="shared" si="29"/>
        <v>45985</v>
      </c>
      <c r="H109" s="98">
        <f t="shared" si="30"/>
        <v>45992</v>
      </c>
      <c r="I109" s="98"/>
      <c r="J109" s="99"/>
      <c r="K109" s="25"/>
      <c r="L109" s="25"/>
      <c r="M109" s="25"/>
      <c r="N109" s="25"/>
    </row>
    <row r="110" spans="1:14" x14ac:dyDescent="0.25">
      <c r="A110" s="98">
        <v>45977</v>
      </c>
      <c r="B110" s="25" t="s">
        <v>515</v>
      </c>
      <c r="C110" s="98">
        <f t="shared" si="25"/>
        <v>46000</v>
      </c>
      <c r="D110" s="98">
        <f t="shared" si="26"/>
        <v>45984</v>
      </c>
      <c r="E110" s="98">
        <f t="shared" si="27"/>
        <v>45991</v>
      </c>
      <c r="F110" s="98">
        <f t="shared" si="28"/>
        <v>45997</v>
      </c>
      <c r="G110" s="98">
        <f t="shared" si="29"/>
        <v>45985</v>
      </c>
      <c r="H110" s="98">
        <f t="shared" si="30"/>
        <v>45992</v>
      </c>
      <c r="I110" s="98"/>
      <c r="J110" s="99"/>
      <c r="K110" s="25"/>
      <c r="L110" s="25"/>
      <c r="M110" s="25"/>
      <c r="N110" s="25"/>
    </row>
    <row r="111" spans="1:14" x14ac:dyDescent="0.25">
      <c r="A111" s="98">
        <v>45977</v>
      </c>
      <c r="B111" s="25" t="s">
        <v>516</v>
      </c>
      <c r="C111" s="98">
        <f t="shared" si="25"/>
        <v>46000</v>
      </c>
      <c r="D111" s="98">
        <f t="shared" si="26"/>
        <v>45984</v>
      </c>
      <c r="E111" s="98">
        <f t="shared" si="27"/>
        <v>45991</v>
      </c>
      <c r="F111" s="98">
        <f t="shared" si="28"/>
        <v>45997</v>
      </c>
      <c r="G111" s="98">
        <f t="shared" si="29"/>
        <v>45985</v>
      </c>
      <c r="H111" s="98">
        <f t="shared" si="30"/>
        <v>45992</v>
      </c>
      <c r="I111" s="98"/>
      <c r="J111" s="99"/>
      <c r="K111" s="25"/>
      <c r="L111" s="25"/>
      <c r="M111" s="25"/>
      <c r="N111" s="25"/>
    </row>
    <row r="112" spans="1:14" x14ac:dyDescent="0.25">
      <c r="A112" s="98">
        <v>45977</v>
      </c>
      <c r="B112" s="25" t="s">
        <v>517</v>
      </c>
      <c r="C112" s="98">
        <f t="shared" si="25"/>
        <v>46000</v>
      </c>
      <c r="D112" s="98">
        <f t="shared" si="26"/>
        <v>45984</v>
      </c>
      <c r="E112" s="98">
        <f t="shared" si="27"/>
        <v>45991</v>
      </c>
      <c r="F112" s="98">
        <f t="shared" si="28"/>
        <v>45997</v>
      </c>
      <c r="G112" s="98">
        <f t="shared" si="29"/>
        <v>45985</v>
      </c>
      <c r="H112" s="98">
        <f t="shared" si="30"/>
        <v>45992</v>
      </c>
      <c r="I112" s="98"/>
      <c r="J112" s="99"/>
      <c r="K112" s="25"/>
      <c r="L112" s="25"/>
      <c r="M112" s="25"/>
      <c r="N112" s="25"/>
    </row>
    <row r="113" spans="1:14" x14ac:dyDescent="0.25">
      <c r="A113" s="98">
        <v>45977</v>
      </c>
      <c r="B113" s="25" t="s">
        <v>518</v>
      </c>
      <c r="C113" s="98">
        <f t="shared" si="25"/>
        <v>46000</v>
      </c>
      <c r="D113" s="98">
        <f t="shared" si="26"/>
        <v>45984</v>
      </c>
      <c r="E113" s="98">
        <f t="shared" si="27"/>
        <v>45991</v>
      </c>
      <c r="F113" s="98">
        <f t="shared" si="28"/>
        <v>45997</v>
      </c>
      <c r="G113" s="98">
        <f t="shared" si="29"/>
        <v>45985</v>
      </c>
      <c r="H113" s="98">
        <f t="shared" si="30"/>
        <v>45992</v>
      </c>
      <c r="I113" s="98"/>
      <c r="J113" s="99"/>
      <c r="K113" s="25"/>
      <c r="L113" s="25"/>
      <c r="M113" s="25"/>
      <c r="N113" s="25"/>
    </row>
    <row r="114" spans="1:14" x14ac:dyDescent="0.25">
      <c r="A114" s="98">
        <v>45977</v>
      </c>
      <c r="B114" s="25" t="s">
        <v>519</v>
      </c>
      <c r="C114" s="98">
        <f t="shared" si="25"/>
        <v>46000</v>
      </c>
      <c r="D114" s="98">
        <f t="shared" si="26"/>
        <v>45984</v>
      </c>
      <c r="E114" s="98">
        <f t="shared" si="27"/>
        <v>45991</v>
      </c>
      <c r="F114" s="98">
        <f t="shared" si="28"/>
        <v>45997</v>
      </c>
      <c r="G114" s="98">
        <f t="shared" si="29"/>
        <v>45985</v>
      </c>
      <c r="H114" s="98">
        <f t="shared" si="30"/>
        <v>45992</v>
      </c>
      <c r="I114" s="98"/>
      <c r="J114" s="99"/>
      <c r="K114" s="25"/>
      <c r="L114" s="25"/>
      <c r="M114" s="25"/>
      <c r="N114" s="25"/>
    </row>
    <row r="115" spans="1:14" x14ac:dyDescent="0.25">
      <c r="A115" s="98">
        <v>45978</v>
      </c>
      <c r="B115" s="25" t="s">
        <v>520</v>
      </c>
      <c r="C115" s="98">
        <f t="shared" si="25"/>
        <v>46001</v>
      </c>
      <c r="D115" s="98">
        <f t="shared" si="26"/>
        <v>45985</v>
      </c>
      <c r="E115" s="98">
        <f t="shared" si="27"/>
        <v>45992</v>
      </c>
      <c r="F115" s="98">
        <f t="shared" si="28"/>
        <v>45998</v>
      </c>
      <c r="G115" s="98">
        <f t="shared" si="29"/>
        <v>45986</v>
      </c>
      <c r="H115" s="98">
        <f t="shared" si="30"/>
        <v>45993</v>
      </c>
      <c r="I115" s="98"/>
      <c r="J115" s="99"/>
      <c r="K115" s="25"/>
      <c r="L115" s="25"/>
      <c r="M115" s="25"/>
      <c r="N115" s="25"/>
    </row>
    <row r="116" spans="1:14" x14ac:dyDescent="0.25">
      <c r="A116" s="98">
        <v>45978</v>
      </c>
      <c r="B116" s="25" t="s">
        <v>521</v>
      </c>
      <c r="C116" s="98">
        <f t="shared" si="25"/>
        <v>46001</v>
      </c>
      <c r="D116" s="98">
        <f t="shared" si="26"/>
        <v>45985</v>
      </c>
      <c r="E116" s="98">
        <f t="shared" si="27"/>
        <v>45992</v>
      </c>
      <c r="F116" s="98">
        <f t="shared" si="28"/>
        <v>45998</v>
      </c>
      <c r="G116" s="98">
        <f t="shared" si="29"/>
        <v>45986</v>
      </c>
      <c r="H116" s="98">
        <f t="shared" si="30"/>
        <v>45993</v>
      </c>
      <c r="I116" s="98"/>
      <c r="J116" s="99"/>
      <c r="K116" s="25"/>
      <c r="L116" s="25"/>
      <c r="M116" s="25"/>
      <c r="N116" s="25"/>
    </row>
    <row r="117" spans="1:14" x14ac:dyDescent="0.25">
      <c r="A117" s="98">
        <v>45978</v>
      </c>
      <c r="B117" s="25" t="s">
        <v>522</v>
      </c>
      <c r="C117" s="98">
        <f t="shared" si="25"/>
        <v>46001</v>
      </c>
      <c r="D117" s="98">
        <f t="shared" si="26"/>
        <v>45985</v>
      </c>
      <c r="E117" s="98">
        <f t="shared" si="27"/>
        <v>45992</v>
      </c>
      <c r="F117" s="98">
        <f t="shared" si="28"/>
        <v>45998</v>
      </c>
      <c r="G117" s="98">
        <f t="shared" si="29"/>
        <v>45986</v>
      </c>
      <c r="H117" s="98">
        <f t="shared" si="30"/>
        <v>45993</v>
      </c>
      <c r="I117" s="98"/>
      <c r="J117" s="99"/>
      <c r="K117" s="25"/>
      <c r="L117" s="25"/>
      <c r="M117" s="25"/>
      <c r="N117" s="25"/>
    </row>
    <row r="118" spans="1:14" x14ac:dyDescent="0.25">
      <c r="A118" s="98">
        <v>45978</v>
      </c>
      <c r="B118" s="25" t="s">
        <v>523</v>
      </c>
      <c r="C118" s="98">
        <f t="shared" si="25"/>
        <v>46001</v>
      </c>
      <c r="D118" s="98">
        <f t="shared" si="26"/>
        <v>45985</v>
      </c>
      <c r="E118" s="98">
        <f t="shared" si="27"/>
        <v>45992</v>
      </c>
      <c r="F118" s="98">
        <f t="shared" si="28"/>
        <v>45998</v>
      </c>
      <c r="G118" s="98">
        <f t="shared" si="29"/>
        <v>45986</v>
      </c>
      <c r="H118" s="98">
        <f t="shared" si="30"/>
        <v>45993</v>
      </c>
      <c r="I118" s="98"/>
      <c r="J118" s="99"/>
      <c r="K118" s="25"/>
      <c r="L118" s="25"/>
      <c r="M118" s="25"/>
      <c r="N118" s="25"/>
    </row>
    <row r="119" spans="1:14" x14ac:dyDescent="0.25">
      <c r="A119" s="98">
        <v>45978</v>
      </c>
      <c r="B119" s="25" t="s">
        <v>524</v>
      </c>
      <c r="C119" s="98">
        <f t="shared" si="25"/>
        <v>46001</v>
      </c>
      <c r="D119" s="98">
        <f t="shared" si="26"/>
        <v>45985</v>
      </c>
      <c r="E119" s="98">
        <f t="shared" si="27"/>
        <v>45992</v>
      </c>
      <c r="F119" s="98">
        <f t="shared" si="28"/>
        <v>45998</v>
      </c>
      <c r="G119" s="98">
        <f t="shared" si="29"/>
        <v>45986</v>
      </c>
      <c r="H119" s="98">
        <f t="shared" si="30"/>
        <v>45993</v>
      </c>
      <c r="I119" s="98"/>
      <c r="J119" s="99"/>
      <c r="K119" s="25"/>
      <c r="L119" s="25"/>
      <c r="M119" s="25"/>
      <c r="N119" s="25"/>
    </row>
    <row r="120" spans="1:14" x14ac:dyDescent="0.25">
      <c r="A120" s="98">
        <v>45978</v>
      </c>
      <c r="B120" s="25" t="s">
        <v>525</v>
      </c>
      <c r="C120" s="98">
        <f t="shared" si="25"/>
        <v>46001</v>
      </c>
      <c r="D120" s="98">
        <f t="shared" si="26"/>
        <v>45985</v>
      </c>
      <c r="E120" s="98">
        <f t="shared" si="27"/>
        <v>45992</v>
      </c>
      <c r="F120" s="98">
        <f t="shared" si="28"/>
        <v>45998</v>
      </c>
      <c r="G120" s="98">
        <f t="shared" si="29"/>
        <v>45986</v>
      </c>
      <c r="H120" s="98">
        <f t="shared" si="30"/>
        <v>45993</v>
      </c>
      <c r="I120" s="98"/>
      <c r="J120" s="99"/>
      <c r="K120" s="25"/>
      <c r="L120" s="25"/>
      <c r="M120" s="25"/>
      <c r="N120" s="25"/>
    </row>
    <row r="121" spans="1:14" x14ac:dyDescent="0.25">
      <c r="A121" s="98">
        <v>45978</v>
      </c>
      <c r="B121" s="25" t="s">
        <v>526</v>
      </c>
      <c r="C121" s="98">
        <f t="shared" si="25"/>
        <v>46001</v>
      </c>
      <c r="D121" s="98">
        <f t="shared" si="26"/>
        <v>45985</v>
      </c>
      <c r="E121" s="98">
        <f t="shared" si="27"/>
        <v>45992</v>
      </c>
      <c r="F121" s="98">
        <f t="shared" si="28"/>
        <v>45998</v>
      </c>
      <c r="G121" s="98">
        <f t="shared" si="29"/>
        <v>45986</v>
      </c>
      <c r="H121" s="98">
        <f t="shared" si="30"/>
        <v>45993</v>
      </c>
      <c r="I121" s="98"/>
      <c r="J121" s="99"/>
      <c r="K121" s="25"/>
      <c r="L121" s="25"/>
      <c r="M121" s="25"/>
      <c r="N121" s="25"/>
    </row>
    <row r="122" spans="1:14" x14ac:dyDescent="0.25">
      <c r="A122" s="98">
        <v>45979</v>
      </c>
      <c r="B122" s="25" t="s">
        <v>527</v>
      </c>
      <c r="C122" s="98">
        <f t="shared" si="25"/>
        <v>46002</v>
      </c>
      <c r="D122" s="98">
        <f t="shared" si="26"/>
        <v>45986</v>
      </c>
      <c r="E122" s="98">
        <f t="shared" si="27"/>
        <v>45993</v>
      </c>
      <c r="F122" s="98">
        <f t="shared" si="28"/>
        <v>45999</v>
      </c>
      <c r="G122" s="98">
        <f t="shared" si="29"/>
        <v>45987</v>
      </c>
      <c r="H122" s="98">
        <f t="shared" si="30"/>
        <v>45994</v>
      </c>
      <c r="I122" s="98"/>
      <c r="J122" s="99"/>
      <c r="K122" s="25"/>
      <c r="L122" s="25"/>
      <c r="M122" s="25"/>
      <c r="N122" s="25"/>
    </row>
    <row r="123" spans="1:14" x14ac:dyDescent="0.25">
      <c r="A123" s="98">
        <v>45979</v>
      </c>
      <c r="B123" s="25" t="s">
        <v>528</v>
      </c>
      <c r="C123" s="98">
        <f t="shared" si="25"/>
        <v>46002</v>
      </c>
      <c r="D123" s="98">
        <f t="shared" si="26"/>
        <v>45986</v>
      </c>
      <c r="E123" s="98">
        <f t="shared" si="27"/>
        <v>45993</v>
      </c>
      <c r="F123" s="98">
        <f t="shared" si="28"/>
        <v>45999</v>
      </c>
      <c r="G123" s="98">
        <f t="shared" si="29"/>
        <v>45987</v>
      </c>
      <c r="H123" s="98">
        <f t="shared" si="30"/>
        <v>45994</v>
      </c>
      <c r="I123" s="98"/>
      <c r="J123" s="99"/>
      <c r="K123" s="25"/>
      <c r="L123" s="25"/>
      <c r="M123" s="25"/>
      <c r="N123" s="25"/>
    </row>
    <row r="124" spans="1:14" x14ac:dyDescent="0.25">
      <c r="A124" s="98">
        <v>45979</v>
      </c>
      <c r="B124" s="25" t="s">
        <v>529</v>
      </c>
      <c r="C124" s="98">
        <f t="shared" si="25"/>
        <v>46002</v>
      </c>
      <c r="D124" s="98">
        <f t="shared" si="26"/>
        <v>45986</v>
      </c>
      <c r="E124" s="98">
        <f t="shared" si="27"/>
        <v>45993</v>
      </c>
      <c r="F124" s="98">
        <f t="shared" si="28"/>
        <v>45999</v>
      </c>
      <c r="G124" s="98">
        <f t="shared" si="29"/>
        <v>45987</v>
      </c>
      <c r="H124" s="98">
        <f t="shared" si="30"/>
        <v>45994</v>
      </c>
      <c r="I124" s="98"/>
      <c r="J124" s="99"/>
      <c r="K124" s="25"/>
      <c r="L124" s="25"/>
      <c r="M124" s="25"/>
      <c r="N124" s="25"/>
    </row>
    <row r="125" spans="1:14" x14ac:dyDescent="0.25">
      <c r="A125" s="98">
        <v>45979</v>
      </c>
      <c r="B125" s="25" t="s">
        <v>530</v>
      </c>
      <c r="C125" s="98">
        <f t="shared" si="25"/>
        <v>46002</v>
      </c>
      <c r="D125" s="98">
        <f t="shared" si="26"/>
        <v>45986</v>
      </c>
      <c r="E125" s="98">
        <f t="shared" si="27"/>
        <v>45993</v>
      </c>
      <c r="F125" s="98">
        <f t="shared" si="28"/>
        <v>45999</v>
      </c>
      <c r="G125" s="98">
        <f t="shared" si="29"/>
        <v>45987</v>
      </c>
      <c r="H125" s="98">
        <f t="shared" si="30"/>
        <v>45994</v>
      </c>
      <c r="I125" s="98"/>
      <c r="J125" s="99"/>
      <c r="K125" s="25"/>
      <c r="L125" s="25"/>
      <c r="M125" s="25"/>
      <c r="N125" s="25"/>
    </row>
    <row r="126" spans="1:14" x14ac:dyDescent="0.25">
      <c r="A126" s="98">
        <v>45979</v>
      </c>
      <c r="B126" s="25" t="s">
        <v>531</v>
      </c>
      <c r="C126" s="98">
        <f t="shared" si="25"/>
        <v>46002</v>
      </c>
      <c r="D126" s="98">
        <f t="shared" si="26"/>
        <v>45986</v>
      </c>
      <c r="E126" s="98">
        <f t="shared" si="27"/>
        <v>45993</v>
      </c>
      <c r="F126" s="98">
        <f t="shared" si="28"/>
        <v>45999</v>
      </c>
      <c r="G126" s="98">
        <f t="shared" si="29"/>
        <v>45987</v>
      </c>
      <c r="H126" s="98">
        <f t="shared" si="30"/>
        <v>45994</v>
      </c>
      <c r="I126" s="98"/>
      <c r="J126" s="99"/>
      <c r="K126" s="25"/>
      <c r="L126" s="25"/>
      <c r="M126" s="25"/>
      <c r="N126" s="25"/>
    </row>
    <row r="127" spans="1:14" x14ac:dyDescent="0.25">
      <c r="A127" s="98">
        <v>45979</v>
      </c>
      <c r="B127" s="25" t="s">
        <v>532</v>
      </c>
      <c r="C127" s="98">
        <f t="shared" si="25"/>
        <v>46002</v>
      </c>
      <c r="D127" s="98">
        <f t="shared" si="26"/>
        <v>45986</v>
      </c>
      <c r="E127" s="98">
        <f t="shared" si="27"/>
        <v>45993</v>
      </c>
      <c r="F127" s="98">
        <f t="shared" si="28"/>
        <v>45999</v>
      </c>
      <c r="G127" s="98">
        <f t="shared" si="29"/>
        <v>45987</v>
      </c>
      <c r="H127" s="98">
        <f t="shared" si="30"/>
        <v>45994</v>
      </c>
      <c r="I127" s="98"/>
      <c r="J127" s="99"/>
      <c r="K127" s="25"/>
      <c r="L127" s="25"/>
      <c r="M127" s="25"/>
      <c r="N127" s="25"/>
    </row>
    <row r="128" spans="1:14" x14ac:dyDescent="0.25">
      <c r="A128" s="98">
        <v>45979</v>
      </c>
      <c r="B128" s="25" t="s">
        <v>533</v>
      </c>
      <c r="C128" s="98">
        <f t="shared" si="25"/>
        <v>46002</v>
      </c>
      <c r="D128" s="98">
        <f t="shared" si="26"/>
        <v>45986</v>
      </c>
      <c r="E128" s="98">
        <f t="shared" si="27"/>
        <v>45993</v>
      </c>
      <c r="F128" s="98">
        <f t="shared" si="28"/>
        <v>45999</v>
      </c>
      <c r="G128" s="98">
        <f t="shared" si="29"/>
        <v>45987</v>
      </c>
      <c r="H128" s="98">
        <f t="shared" si="30"/>
        <v>45994</v>
      </c>
      <c r="I128" s="98"/>
      <c r="J128" s="99"/>
      <c r="K128" s="25"/>
      <c r="L128" s="25"/>
      <c r="M128" s="25"/>
      <c r="N128" s="25"/>
    </row>
    <row r="129" spans="1:14" x14ac:dyDescent="0.25">
      <c r="A129" s="98">
        <v>45979</v>
      </c>
      <c r="B129" s="25" t="s">
        <v>534</v>
      </c>
      <c r="C129" s="98">
        <f t="shared" si="25"/>
        <v>46002</v>
      </c>
      <c r="D129" s="98">
        <f t="shared" si="26"/>
        <v>45986</v>
      </c>
      <c r="E129" s="98">
        <f t="shared" si="27"/>
        <v>45993</v>
      </c>
      <c r="F129" s="98">
        <f t="shared" si="28"/>
        <v>45999</v>
      </c>
      <c r="G129" s="98">
        <f t="shared" si="29"/>
        <v>45987</v>
      </c>
      <c r="H129" s="98">
        <f t="shared" si="30"/>
        <v>45994</v>
      </c>
      <c r="I129" s="98"/>
      <c r="J129" s="99"/>
      <c r="K129" s="25"/>
      <c r="L129" s="25"/>
      <c r="M129" s="25"/>
      <c r="N129" s="25"/>
    </row>
    <row r="130" spans="1:14" x14ac:dyDescent="0.25">
      <c r="A130" s="98">
        <v>45979</v>
      </c>
      <c r="B130" s="25" t="s">
        <v>535</v>
      </c>
      <c r="C130" s="98">
        <f t="shared" si="25"/>
        <v>46002</v>
      </c>
      <c r="D130" s="98">
        <f t="shared" si="26"/>
        <v>45986</v>
      </c>
      <c r="E130" s="98">
        <f t="shared" si="27"/>
        <v>45993</v>
      </c>
      <c r="F130" s="98">
        <f t="shared" si="28"/>
        <v>45999</v>
      </c>
      <c r="G130" s="98">
        <f t="shared" si="29"/>
        <v>45987</v>
      </c>
      <c r="H130" s="98">
        <f t="shared" si="30"/>
        <v>45994</v>
      </c>
      <c r="I130" s="98"/>
      <c r="J130" s="99"/>
      <c r="K130" s="25"/>
      <c r="L130" s="25"/>
      <c r="M130" s="25"/>
      <c r="N130" s="25"/>
    </row>
    <row r="131" spans="1:14" x14ac:dyDescent="0.25">
      <c r="A131" s="98">
        <v>45980</v>
      </c>
      <c r="B131" s="25" t="s">
        <v>435</v>
      </c>
      <c r="C131" s="98">
        <f t="shared" si="25"/>
        <v>46003</v>
      </c>
      <c r="D131" s="98">
        <f t="shared" si="26"/>
        <v>45987</v>
      </c>
      <c r="E131" s="98">
        <f t="shared" si="27"/>
        <v>45994</v>
      </c>
      <c r="F131" s="98">
        <f t="shared" si="28"/>
        <v>46000</v>
      </c>
      <c r="G131" s="98">
        <f t="shared" si="29"/>
        <v>45988</v>
      </c>
      <c r="H131" s="98">
        <f t="shared" si="30"/>
        <v>45995</v>
      </c>
      <c r="I131" s="98"/>
      <c r="J131" s="99"/>
      <c r="K131" s="25"/>
      <c r="L131" s="25"/>
      <c r="M131" s="25"/>
      <c r="N131" s="25"/>
    </row>
    <row r="132" spans="1:14" x14ac:dyDescent="0.25">
      <c r="A132" s="98">
        <v>45980</v>
      </c>
      <c r="B132" s="25" t="s">
        <v>436</v>
      </c>
      <c r="C132" s="98">
        <f t="shared" si="25"/>
        <v>46003</v>
      </c>
      <c r="D132" s="98">
        <f t="shared" si="26"/>
        <v>45987</v>
      </c>
      <c r="E132" s="98">
        <f t="shared" si="27"/>
        <v>45994</v>
      </c>
      <c r="F132" s="98">
        <f t="shared" si="28"/>
        <v>46000</v>
      </c>
      <c r="G132" s="98">
        <f t="shared" si="29"/>
        <v>45988</v>
      </c>
      <c r="H132" s="98">
        <f t="shared" si="30"/>
        <v>45995</v>
      </c>
      <c r="I132" s="98"/>
      <c r="J132" s="99"/>
      <c r="K132" s="25"/>
      <c r="L132" s="25"/>
      <c r="M132" s="25"/>
      <c r="N132" s="25"/>
    </row>
    <row r="133" spans="1:14" x14ac:dyDescent="0.25">
      <c r="A133" s="98">
        <v>45980</v>
      </c>
      <c r="B133" s="25" t="s">
        <v>437</v>
      </c>
      <c r="C133" s="98">
        <f t="shared" si="25"/>
        <v>46003</v>
      </c>
      <c r="D133" s="98">
        <f t="shared" si="26"/>
        <v>45987</v>
      </c>
      <c r="E133" s="98">
        <f t="shared" si="27"/>
        <v>45994</v>
      </c>
      <c r="F133" s="98">
        <f t="shared" si="28"/>
        <v>46000</v>
      </c>
      <c r="G133" s="98">
        <f t="shared" si="29"/>
        <v>45988</v>
      </c>
      <c r="H133" s="98">
        <f t="shared" si="30"/>
        <v>45995</v>
      </c>
      <c r="I133" s="98"/>
      <c r="J133" s="99"/>
      <c r="K133" s="25"/>
      <c r="L133" s="25"/>
      <c r="M133" s="25"/>
      <c r="N133" s="25"/>
    </row>
    <row r="134" spans="1:14" x14ac:dyDescent="0.25">
      <c r="A134" s="98">
        <v>45980</v>
      </c>
      <c r="B134" s="25" t="s">
        <v>438</v>
      </c>
      <c r="C134" s="98">
        <f t="shared" si="25"/>
        <v>46003</v>
      </c>
      <c r="D134" s="98">
        <f t="shared" si="26"/>
        <v>45987</v>
      </c>
      <c r="E134" s="98">
        <f t="shared" si="27"/>
        <v>45994</v>
      </c>
      <c r="F134" s="98">
        <f t="shared" si="28"/>
        <v>46000</v>
      </c>
      <c r="G134" s="98">
        <f t="shared" si="29"/>
        <v>45988</v>
      </c>
      <c r="H134" s="98">
        <f t="shared" si="30"/>
        <v>45995</v>
      </c>
      <c r="I134" s="98"/>
      <c r="J134" s="99"/>
      <c r="K134" s="25"/>
      <c r="L134" s="25"/>
      <c r="M134" s="25"/>
      <c r="N134" s="25"/>
    </row>
    <row r="135" spans="1:14" x14ac:dyDescent="0.25">
      <c r="A135" s="98">
        <v>45980</v>
      </c>
      <c r="B135" s="25" t="s">
        <v>439</v>
      </c>
      <c r="C135" s="98">
        <f t="shared" si="25"/>
        <v>46003</v>
      </c>
      <c r="D135" s="98">
        <f t="shared" si="26"/>
        <v>45987</v>
      </c>
      <c r="E135" s="98">
        <f t="shared" si="27"/>
        <v>45994</v>
      </c>
      <c r="F135" s="98">
        <f t="shared" si="28"/>
        <v>46000</v>
      </c>
      <c r="G135" s="98">
        <f t="shared" si="29"/>
        <v>45988</v>
      </c>
      <c r="H135" s="98">
        <f t="shared" si="30"/>
        <v>45995</v>
      </c>
      <c r="I135" s="98"/>
      <c r="J135" s="99"/>
      <c r="K135" s="25"/>
      <c r="L135" s="25"/>
      <c r="M135" s="25"/>
      <c r="N135" s="25"/>
    </row>
    <row r="136" spans="1:14" x14ac:dyDescent="0.25">
      <c r="A136" s="98">
        <v>45980</v>
      </c>
      <c r="B136" s="25" t="s">
        <v>440</v>
      </c>
      <c r="C136" s="98">
        <f t="shared" si="25"/>
        <v>46003</v>
      </c>
      <c r="D136" s="98">
        <f t="shared" si="26"/>
        <v>45987</v>
      </c>
      <c r="E136" s="98">
        <f t="shared" si="27"/>
        <v>45994</v>
      </c>
      <c r="F136" s="98">
        <f t="shared" si="28"/>
        <v>46000</v>
      </c>
      <c r="G136" s="98">
        <f t="shared" si="29"/>
        <v>45988</v>
      </c>
      <c r="H136" s="98">
        <f t="shared" si="30"/>
        <v>45995</v>
      </c>
      <c r="I136" s="98"/>
      <c r="J136" s="99"/>
      <c r="K136" s="25"/>
      <c r="L136" s="25"/>
      <c r="M136" s="25"/>
      <c r="N136" s="25"/>
    </row>
    <row r="137" spans="1:14" x14ac:dyDescent="0.25">
      <c r="A137" s="98">
        <v>45980</v>
      </c>
      <c r="B137" s="25" t="s">
        <v>441</v>
      </c>
      <c r="C137" s="98">
        <f t="shared" si="25"/>
        <v>46003</v>
      </c>
      <c r="D137" s="98">
        <f t="shared" si="26"/>
        <v>45987</v>
      </c>
      <c r="E137" s="98">
        <f t="shared" si="27"/>
        <v>45994</v>
      </c>
      <c r="F137" s="98">
        <f t="shared" si="28"/>
        <v>46000</v>
      </c>
      <c r="G137" s="98">
        <f t="shared" si="29"/>
        <v>45988</v>
      </c>
      <c r="H137" s="98">
        <f t="shared" si="30"/>
        <v>45995</v>
      </c>
      <c r="I137" s="98"/>
      <c r="J137" s="99"/>
      <c r="K137" s="25"/>
      <c r="L137" s="25"/>
      <c r="M137" s="25"/>
      <c r="N137" s="25"/>
    </row>
    <row r="138" spans="1:14" x14ac:dyDescent="0.25">
      <c r="A138" s="98">
        <v>45981</v>
      </c>
      <c r="B138" s="25" t="s">
        <v>359</v>
      </c>
      <c r="C138" s="98">
        <f t="shared" si="25"/>
        <v>46004</v>
      </c>
      <c r="D138" s="98">
        <f t="shared" si="26"/>
        <v>45988</v>
      </c>
      <c r="E138" s="98">
        <f t="shared" si="27"/>
        <v>45995</v>
      </c>
      <c r="F138" s="98">
        <f t="shared" si="28"/>
        <v>46001</v>
      </c>
      <c r="G138" s="98">
        <f t="shared" si="29"/>
        <v>45989</v>
      </c>
      <c r="H138" s="98">
        <f t="shared" si="30"/>
        <v>45996</v>
      </c>
      <c r="I138" s="98"/>
      <c r="J138" s="99"/>
      <c r="K138" s="25"/>
      <c r="L138" s="25"/>
      <c r="M138" s="25"/>
      <c r="N138" s="25"/>
    </row>
    <row r="139" spans="1:14" x14ac:dyDescent="0.25">
      <c r="A139" s="98">
        <v>45981</v>
      </c>
      <c r="B139" s="25" t="s">
        <v>360</v>
      </c>
      <c r="C139" s="98">
        <f t="shared" si="25"/>
        <v>46004</v>
      </c>
      <c r="D139" s="98">
        <f t="shared" si="26"/>
        <v>45988</v>
      </c>
      <c r="E139" s="98">
        <f t="shared" si="27"/>
        <v>45995</v>
      </c>
      <c r="F139" s="98">
        <f t="shared" si="28"/>
        <v>46001</v>
      </c>
      <c r="G139" s="98">
        <f t="shared" si="29"/>
        <v>45989</v>
      </c>
      <c r="H139" s="98">
        <f t="shared" si="30"/>
        <v>45996</v>
      </c>
      <c r="I139" s="98"/>
      <c r="J139" s="99"/>
      <c r="K139" s="25"/>
      <c r="L139" s="25"/>
      <c r="M139" s="25"/>
      <c r="N139" s="25"/>
    </row>
    <row r="140" spans="1:14" x14ac:dyDescent="0.25">
      <c r="A140" s="98">
        <v>45981</v>
      </c>
      <c r="B140" s="25" t="s">
        <v>361</v>
      </c>
      <c r="C140" s="98">
        <f t="shared" si="25"/>
        <v>46004</v>
      </c>
      <c r="D140" s="98">
        <f t="shared" si="26"/>
        <v>45988</v>
      </c>
      <c r="E140" s="98">
        <f t="shared" si="27"/>
        <v>45995</v>
      </c>
      <c r="F140" s="98">
        <f t="shared" si="28"/>
        <v>46001</v>
      </c>
      <c r="G140" s="98">
        <f t="shared" si="29"/>
        <v>45989</v>
      </c>
      <c r="H140" s="98">
        <f t="shared" si="30"/>
        <v>45996</v>
      </c>
      <c r="I140" s="98"/>
      <c r="J140" s="99"/>
      <c r="K140" s="25"/>
      <c r="L140" s="25"/>
      <c r="M140" s="25"/>
      <c r="N140" s="25"/>
    </row>
    <row r="141" spans="1:14" x14ac:dyDescent="0.25">
      <c r="A141" s="98">
        <v>45981</v>
      </c>
      <c r="B141" s="25" t="s">
        <v>362</v>
      </c>
      <c r="C141" s="98">
        <f t="shared" si="25"/>
        <v>46004</v>
      </c>
      <c r="D141" s="98">
        <f t="shared" si="26"/>
        <v>45988</v>
      </c>
      <c r="E141" s="98">
        <f t="shared" si="27"/>
        <v>45995</v>
      </c>
      <c r="F141" s="98">
        <f t="shared" si="28"/>
        <v>46001</v>
      </c>
      <c r="G141" s="98">
        <f t="shared" si="29"/>
        <v>45989</v>
      </c>
      <c r="H141" s="98">
        <f t="shared" si="30"/>
        <v>45996</v>
      </c>
      <c r="I141" s="98"/>
      <c r="J141" s="99"/>
      <c r="K141" s="25"/>
      <c r="L141" s="25"/>
      <c r="M141" s="25"/>
      <c r="N141" s="25"/>
    </row>
    <row r="142" spans="1:14" x14ac:dyDescent="0.25">
      <c r="A142" s="98">
        <v>45981</v>
      </c>
      <c r="B142" s="25" t="s">
        <v>363</v>
      </c>
      <c r="C142" s="98">
        <f t="shared" si="25"/>
        <v>46004</v>
      </c>
      <c r="D142" s="98">
        <f t="shared" si="26"/>
        <v>45988</v>
      </c>
      <c r="E142" s="98">
        <f t="shared" si="27"/>
        <v>45995</v>
      </c>
      <c r="F142" s="98">
        <f t="shared" si="28"/>
        <v>46001</v>
      </c>
      <c r="G142" s="98">
        <f t="shared" si="29"/>
        <v>45989</v>
      </c>
      <c r="H142" s="98">
        <f t="shared" si="30"/>
        <v>45996</v>
      </c>
      <c r="I142" s="98"/>
      <c r="J142" s="99"/>
      <c r="K142" s="25"/>
      <c r="L142" s="25"/>
      <c r="M142" s="25"/>
      <c r="N142" s="25"/>
    </row>
    <row r="143" spans="1:14" x14ac:dyDescent="0.25">
      <c r="A143" s="98">
        <v>45981</v>
      </c>
      <c r="B143" s="25" t="s">
        <v>364</v>
      </c>
      <c r="C143" s="98">
        <f t="shared" si="25"/>
        <v>46004</v>
      </c>
      <c r="D143" s="98">
        <f t="shared" si="26"/>
        <v>45988</v>
      </c>
      <c r="E143" s="98">
        <f t="shared" si="27"/>
        <v>45995</v>
      </c>
      <c r="F143" s="98">
        <f t="shared" si="28"/>
        <v>46001</v>
      </c>
      <c r="G143" s="98">
        <f t="shared" si="29"/>
        <v>45989</v>
      </c>
      <c r="H143" s="98">
        <f t="shared" si="30"/>
        <v>45996</v>
      </c>
      <c r="I143" s="98"/>
      <c r="J143" s="99"/>
      <c r="K143" s="25"/>
      <c r="L143" s="25"/>
      <c r="M143" s="25"/>
      <c r="N143" s="25"/>
    </row>
    <row r="144" spans="1:14" x14ac:dyDescent="0.25">
      <c r="A144" s="98">
        <v>45981</v>
      </c>
      <c r="B144" s="25" t="s">
        <v>365</v>
      </c>
      <c r="C144" s="98">
        <f t="shared" ref="C144:C207" si="31">A144+23</f>
        <v>46004</v>
      </c>
      <c r="D144" s="98">
        <f t="shared" ref="D144:D207" si="32">A144+7</f>
        <v>45988</v>
      </c>
      <c r="E144" s="98">
        <f t="shared" ref="E144:E207" si="33">A144+14</f>
        <v>45995</v>
      </c>
      <c r="F144" s="98">
        <f t="shared" ref="F144:F207" si="34">A144+20</f>
        <v>46001</v>
      </c>
      <c r="G144" s="98">
        <f t="shared" ref="G144:G207" si="35">A144+8</f>
        <v>45989</v>
      </c>
      <c r="H144" s="98">
        <f t="shared" ref="H144:H207" si="36">A144+15</f>
        <v>45996</v>
      </c>
      <c r="I144" s="98"/>
      <c r="J144" s="99"/>
      <c r="K144" s="25"/>
      <c r="L144" s="25"/>
      <c r="M144" s="25"/>
      <c r="N144" s="25"/>
    </row>
    <row r="145" spans="1:14" x14ac:dyDescent="0.25">
      <c r="A145" s="98">
        <v>45982</v>
      </c>
      <c r="B145" s="25" t="s">
        <v>379</v>
      </c>
      <c r="C145" s="98">
        <f t="shared" si="31"/>
        <v>46005</v>
      </c>
      <c r="D145" s="98">
        <f t="shared" si="32"/>
        <v>45989</v>
      </c>
      <c r="E145" s="98">
        <f t="shared" si="33"/>
        <v>45996</v>
      </c>
      <c r="F145" s="98">
        <f t="shared" si="34"/>
        <v>46002</v>
      </c>
      <c r="G145" s="98">
        <f t="shared" si="35"/>
        <v>45990</v>
      </c>
      <c r="H145" s="98">
        <f t="shared" si="36"/>
        <v>45997</v>
      </c>
      <c r="I145" s="98"/>
      <c r="J145" s="99"/>
      <c r="K145" s="25"/>
      <c r="L145" s="25"/>
      <c r="M145" s="25"/>
      <c r="N145" s="25"/>
    </row>
    <row r="146" spans="1:14" x14ac:dyDescent="0.25">
      <c r="A146" s="98">
        <v>45982</v>
      </c>
      <c r="B146" s="25" t="s">
        <v>380</v>
      </c>
      <c r="C146" s="98">
        <f t="shared" si="31"/>
        <v>46005</v>
      </c>
      <c r="D146" s="98">
        <f t="shared" si="32"/>
        <v>45989</v>
      </c>
      <c r="E146" s="98">
        <f t="shared" si="33"/>
        <v>45996</v>
      </c>
      <c r="F146" s="98">
        <f t="shared" si="34"/>
        <v>46002</v>
      </c>
      <c r="G146" s="98">
        <f t="shared" si="35"/>
        <v>45990</v>
      </c>
      <c r="H146" s="98">
        <f t="shared" si="36"/>
        <v>45997</v>
      </c>
      <c r="I146" s="98"/>
      <c r="J146" s="99"/>
      <c r="K146" s="25"/>
      <c r="L146" s="25"/>
      <c r="M146" s="25"/>
      <c r="N146" s="25"/>
    </row>
    <row r="147" spans="1:14" x14ac:dyDescent="0.25">
      <c r="A147" s="98">
        <v>45982</v>
      </c>
      <c r="B147" s="25" t="s">
        <v>381</v>
      </c>
      <c r="C147" s="98">
        <f t="shared" si="31"/>
        <v>46005</v>
      </c>
      <c r="D147" s="98">
        <f t="shared" si="32"/>
        <v>45989</v>
      </c>
      <c r="E147" s="98">
        <f t="shared" si="33"/>
        <v>45996</v>
      </c>
      <c r="F147" s="98">
        <f t="shared" si="34"/>
        <v>46002</v>
      </c>
      <c r="G147" s="98">
        <f t="shared" si="35"/>
        <v>45990</v>
      </c>
      <c r="H147" s="98">
        <f t="shared" si="36"/>
        <v>45997</v>
      </c>
      <c r="I147" s="98"/>
      <c r="J147" s="99"/>
      <c r="K147" s="25"/>
      <c r="L147" s="25"/>
      <c r="M147" s="25"/>
      <c r="N147" s="25"/>
    </row>
    <row r="148" spans="1:14" x14ac:dyDescent="0.25">
      <c r="A148" s="98">
        <v>45982</v>
      </c>
      <c r="B148" s="25" t="s">
        <v>382</v>
      </c>
      <c r="C148" s="98">
        <f t="shared" si="31"/>
        <v>46005</v>
      </c>
      <c r="D148" s="98">
        <f t="shared" si="32"/>
        <v>45989</v>
      </c>
      <c r="E148" s="98">
        <f t="shared" si="33"/>
        <v>45996</v>
      </c>
      <c r="F148" s="98">
        <f t="shared" si="34"/>
        <v>46002</v>
      </c>
      <c r="G148" s="98">
        <f t="shared" si="35"/>
        <v>45990</v>
      </c>
      <c r="H148" s="98">
        <f t="shared" si="36"/>
        <v>45997</v>
      </c>
      <c r="I148" s="98"/>
      <c r="J148" s="99"/>
      <c r="K148" s="25"/>
      <c r="L148" s="25"/>
      <c r="M148" s="25"/>
      <c r="N148" s="25"/>
    </row>
    <row r="149" spans="1:14" x14ac:dyDescent="0.25">
      <c r="A149" s="98">
        <v>45982</v>
      </c>
      <c r="B149" s="25" t="s">
        <v>383</v>
      </c>
      <c r="C149" s="98">
        <f t="shared" si="31"/>
        <v>46005</v>
      </c>
      <c r="D149" s="98">
        <f t="shared" si="32"/>
        <v>45989</v>
      </c>
      <c r="E149" s="98">
        <f t="shared" si="33"/>
        <v>45996</v>
      </c>
      <c r="F149" s="98">
        <f t="shared" si="34"/>
        <v>46002</v>
      </c>
      <c r="G149" s="98">
        <f t="shared" si="35"/>
        <v>45990</v>
      </c>
      <c r="H149" s="98">
        <f t="shared" si="36"/>
        <v>45997</v>
      </c>
      <c r="I149" s="98"/>
      <c r="J149" s="99"/>
      <c r="K149" s="25"/>
      <c r="L149" s="25"/>
      <c r="M149" s="25"/>
      <c r="N149" s="25"/>
    </row>
    <row r="150" spans="1:14" x14ac:dyDescent="0.25">
      <c r="A150" s="98">
        <v>45982</v>
      </c>
      <c r="B150" s="25" t="s">
        <v>384</v>
      </c>
      <c r="C150" s="98">
        <f t="shared" si="31"/>
        <v>46005</v>
      </c>
      <c r="D150" s="98">
        <f t="shared" si="32"/>
        <v>45989</v>
      </c>
      <c r="E150" s="98">
        <f t="shared" si="33"/>
        <v>45996</v>
      </c>
      <c r="F150" s="98">
        <f t="shared" si="34"/>
        <v>46002</v>
      </c>
      <c r="G150" s="98">
        <f t="shared" si="35"/>
        <v>45990</v>
      </c>
      <c r="H150" s="98">
        <f t="shared" si="36"/>
        <v>45997</v>
      </c>
      <c r="I150" s="98"/>
      <c r="J150" s="99"/>
      <c r="K150" s="25"/>
      <c r="L150" s="25"/>
      <c r="M150" s="25"/>
      <c r="N150" s="25"/>
    </row>
    <row r="151" spans="1:14" x14ac:dyDescent="0.25">
      <c r="A151" s="98">
        <v>45982</v>
      </c>
      <c r="B151" s="25" t="s">
        <v>385</v>
      </c>
      <c r="C151" s="98">
        <f t="shared" si="31"/>
        <v>46005</v>
      </c>
      <c r="D151" s="98">
        <f t="shared" si="32"/>
        <v>45989</v>
      </c>
      <c r="E151" s="98">
        <f t="shared" si="33"/>
        <v>45996</v>
      </c>
      <c r="F151" s="98">
        <f t="shared" si="34"/>
        <v>46002</v>
      </c>
      <c r="G151" s="98">
        <f t="shared" si="35"/>
        <v>45990</v>
      </c>
      <c r="H151" s="98">
        <f t="shared" si="36"/>
        <v>45997</v>
      </c>
      <c r="I151" s="98"/>
      <c r="J151" s="99"/>
      <c r="K151" s="25"/>
      <c r="L151" s="25"/>
      <c r="M151" s="25"/>
      <c r="N151" s="25"/>
    </row>
    <row r="152" spans="1:14" x14ac:dyDescent="0.25">
      <c r="A152" s="98">
        <v>45983</v>
      </c>
      <c r="B152" s="25" t="s">
        <v>366</v>
      </c>
      <c r="C152" s="98">
        <f t="shared" si="31"/>
        <v>46006</v>
      </c>
      <c r="D152" s="98">
        <f t="shared" si="32"/>
        <v>45990</v>
      </c>
      <c r="E152" s="98">
        <f t="shared" si="33"/>
        <v>45997</v>
      </c>
      <c r="F152" s="98">
        <f t="shared" si="34"/>
        <v>46003</v>
      </c>
      <c r="G152" s="98">
        <f t="shared" si="35"/>
        <v>45991</v>
      </c>
      <c r="H152" s="98">
        <f t="shared" si="36"/>
        <v>45998</v>
      </c>
      <c r="I152" s="98"/>
      <c r="J152" s="99"/>
      <c r="K152" s="25"/>
      <c r="L152" s="25"/>
      <c r="M152" s="25"/>
      <c r="N152" s="25"/>
    </row>
    <row r="153" spans="1:14" x14ac:dyDescent="0.25">
      <c r="A153" s="98">
        <v>45983</v>
      </c>
      <c r="B153" s="25" t="s">
        <v>367</v>
      </c>
      <c r="C153" s="98">
        <f t="shared" si="31"/>
        <v>46006</v>
      </c>
      <c r="D153" s="98">
        <f t="shared" si="32"/>
        <v>45990</v>
      </c>
      <c r="E153" s="98">
        <f t="shared" si="33"/>
        <v>45997</v>
      </c>
      <c r="F153" s="98">
        <f t="shared" si="34"/>
        <v>46003</v>
      </c>
      <c r="G153" s="98">
        <f t="shared" si="35"/>
        <v>45991</v>
      </c>
      <c r="H153" s="98">
        <f t="shared" si="36"/>
        <v>45998</v>
      </c>
      <c r="I153" s="98"/>
      <c r="J153" s="99"/>
      <c r="K153" s="25"/>
      <c r="L153" s="25"/>
      <c r="M153" s="25"/>
      <c r="N153" s="25"/>
    </row>
    <row r="154" spans="1:14" x14ac:dyDescent="0.25">
      <c r="A154" s="98">
        <v>45983</v>
      </c>
      <c r="B154" s="25" t="s">
        <v>368</v>
      </c>
      <c r="C154" s="98">
        <f t="shared" si="31"/>
        <v>46006</v>
      </c>
      <c r="D154" s="98">
        <f t="shared" si="32"/>
        <v>45990</v>
      </c>
      <c r="E154" s="98">
        <f t="shared" si="33"/>
        <v>45997</v>
      </c>
      <c r="F154" s="98">
        <f t="shared" si="34"/>
        <v>46003</v>
      </c>
      <c r="G154" s="98">
        <f t="shared" si="35"/>
        <v>45991</v>
      </c>
      <c r="H154" s="98">
        <f t="shared" si="36"/>
        <v>45998</v>
      </c>
      <c r="I154" s="98"/>
      <c r="J154" s="99"/>
      <c r="K154" s="25"/>
      <c r="L154" s="25"/>
      <c r="M154" s="25"/>
      <c r="N154" s="25"/>
    </row>
    <row r="155" spans="1:14" x14ac:dyDescent="0.25">
      <c r="A155" s="98">
        <v>45983</v>
      </c>
      <c r="B155" s="25" t="s">
        <v>369</v>
      </c>
      <c r="C155" s="98">
        <f t="shared" si="31"/>
        <v>46006</v>
      </c>
      <c r="D155" s="98">
        <f t="shared" si="32"/>
        <v>45990</v>
      </c>
      <c r="E155" s="98">
        <f t="shared" si="33"/>
        <v>45997</v>
      </c>
      <c r="F155" s="98">
        <f t="shared" si="34"/>
        <v>46003</v>
      </c>
      <c r="G155" s="98">
        <f t="shared" si="35"/>
        <v>45991</v>
      </c>
      <c r="H155" s="98">
        <f t="shared" si="36"/>
        <v>45998</v>
      </c>
      <c r="I155" s="98"/>
      <c r="J155" s="99"/>
      <c r="K155" s="25"/>
      <c r="L155" s="25"/>
      <c r="M155" s="25"/>
      <c r="N155" s="25"/>
    </row>
    <row r="156" spans="1:14" x14ac:dyDescent="0.25">
      <c r="A156" s="98">
        <v>45983</v>
      </c>
      <c r="B156" s="25" t="s">
        <v>370</v>
      </c>
      <c r="C156" s="98">
        <f t="shared" si="31"/>
        <v>46006</v>
      </c>
      <c r="D156" s="98">
        <f t="shared" si="32"/>
        <v>45990</v>
      </c>
      <c r="E156" s="98">
        <f t="shared" si="33"/>
        <v>45997</v>
      </c>
      <c r="F156" s="98">
        <f t="shared" si="34"/>
        <v>46003</v>
      </c>
      <c r="G156" s="98">
        <f t="shared" si="35"/>
        <v>45991</v>
      </c>
      <c r="H156" s="98">
        <f t="shared" si="36"/>
        <v>45998</v>
      </c>
      <c r="I156" s="98"/>
      <c r="J156" s="99"/>
      <c r="K156" s="25"/>
      <c r="L156" s="25"/>
      <c r="M156" s="25"/>
      <c r="N156" s="25"/>
    </row>
    <row r="157" spans="1:14" x14ac:dyDescent="0.25">
      <c r="A157" s="98">
        <v>45983</v>
      </c>
      <c r="B157" s="25" t="s">
        <v>371</v>
      </c>
      <c r="C157" s="98">
        <f t="shared" si="31"/>
        <v>46006</v>
      </c>
      <c r="D157" s="98">
        <f t="shared" si="32"/>
        <v>45990</v>
      </c>
      <c r="E157" s="98">
        <f t="shared" si="33"/>
        <v>45997</v>
      </c>
      <c r="F157" s="98">
        <f t="shared" si="34"/>
        <v>46003</v>
      </c>
      <c r="G157" s="98">
        <f t="shared" si="35"/>
        <v>45991</v>
      </c>
      <c r="H157" s="98">
        <f t="shared" si="36"/>
        <v>45998</v>
      </c>
      <c r="I157" s="98"/>
      <c r="J157" s="99"/>
      <c r="K157" s="25"/>
      <c r="L157" s="25"/>
      <c r="M157" s="25"/>
      <c r="N157" s="25"/>
    </row>
    <row r="158" spans="1:14" x14ac:dyDescent="0.25">
      <c r="A158" s="98">
        <v>45983</v>
      </c>
      <c r="B158" s="25" t="s">
        <v>372</v>
      </c>
      <c r="C158" s="98">
        <f t="shared" si="31"/>
        <v>46006</v>
      </c>
      <c r="D158" s="98">
        <f t="shared" si="32"/>
        <v>45990</v>
      </c>
      <c r="E158" s="98">
        <f t="shared" si="33"/>
        <v>45997</v>
      </c>
      <c r="F158" s="98">
        <f t="shared" si="34"/>
        <v>46003</v>
      </c>
      <c r="G158" s="98">
        <f t="shared" si="35"/>
        <v>45991</v>
      </c>
      <c r="H158" s="98">
        <f t="shared" si="36"/>
        <v>45998</v>
      </c>
      <c r="I158" s="98"/>
      <c r="J158" s="99"/>
      <c r="K158" s="25"/>
      <c r="L158" s="25"/>
      <c r="M158" s="25"/>
      <c r="N158" s="25"/>
    </row>
    <row r="159" spans="1:14" x14ac:dyDescent="0.25">
      <c r="A159" s="98">
        <v>45984</v>
      </c>
      <c r="B159" s="25" t="s">
        <v>386</v>
      </c>
      <c r="C159" s="98">
        <f t="shared" si="31"/>
        <v>46007</v>
      </c>
      <c r="D159" s="98">
        <f t="shared" si="32"/>
        <v>45991</v>
      </c>
      <c r="E159" s="98">
        <f t="shared" si="33"/>
        <v>45998</v>
      </c>
      <c r="F159" s="98">
        <f t="shared" si="34"/>
        <v>46004</v>
      </c>
      <c r="G159" s="98">
        <f t="shared" si="35"/>
        <v>45992</v>
      </c>
      <c r="H159" s="98">
        <f t="shared" si="36"/>
        <v>45999</v>
      </c>
      <c r="I159" s="98"/>
      <c r="J159" s="99"/>
      <c r="K159" s="25"/>
      <c r="L159" s="25"/>
      <c r="M159" s="25"/>
      <c r="N159" s="25"/>
    </row>
    <row r="160" spans="1:14" x14ac:dyDescent="0.25">
      <c r="A160" s="98">
        <v>45984</v>
      </c>
      <c r="B160" s="25" t="s">
        <v>387</v>
      </c>
      <c r="C160" s="98">
        <f t="shared" si="31"/>
        <v>46007</v>
      </c>
      <c r="D160" s="98">
        <f t="shared" si="32"/>
        <v>45991</v>
      </c>
      <c r="E160" s="98">
        <f t="shared" si="33"/>
        <v>45998</v>
      </c>
      <c r="F160" s="98">
        <f t="shared" si="34"/>
        <v>46004</v>
      </c>
      <c r="G160" s="98">
        <f t="shared" si="35"/>
        <v>45992</v>
      </c>
      <c r="H160" s="98">
        <f t="shared" si="36"/>
        <v>45999</v>
      </c>
      <c r="I160" s="98"/>
      <c r="J160" s="99"/>
      <c r="K160" s="25"/>
      <c r="L160" s="25"/>
      <c r="M160" s="25"/>
      <c r="N160" s="25"/>
    </row>
    <row r="161" spans="1:14" x14ac:dyDescent="0.25">
      <c r="A161" s="98">
        <v>45984</v>
      </c>
      <c r="B161" s="25" t="s">
        <v>388</v>
      </c>
      <c r="C161" s="98">
        <f t="shared" si="31"/>
        <v>46007</v>
      </c>
      <c r="D161" s="98">
        <f t="shared" si="32"/>
        <v>45991</v>
      </c>
      <c r="E161" s="98">
        <f t="shared" si="33"/>
        <v>45998</v>
      </c>
      <c r="F161" s="98">
        <f t="shared" si="34"/>
        <v>46004</v>
      </c>
      <c r="G161" s="98">
        <f t="shared" si="35"/>
        <v>45992</v>
      </c>
      <c r="H161" s="98">
        <f t="shared" si="36"/>
        <v>45999</v>
      </c>
      <c r="I161" s="98"/>
      <c r="J161" s="99"/>
      <c r="K161" s="25"/>
      <c r="L161" s="25"/>
      <c r="M161" s="25"/>
      <c r="N161" s="25"/>
    </row>
    <row r="162" spans="1:14" x14ac:dyDescent="0.25">
      <c r="A162" s="98">
        <v>45984</v>
      </c>
      <c r="B162" s="25" t="s">
        <v>389</v>
      </c>
      <c r="C162" s="98">
        <f t="shared" si="31"/>
        <v>46007</v>
      </c>
      <c r="D162" s="98">
        <f t="shared" si="32"/>
        <v>45991</v>
      </c>
      <c r="E162" s="98">
        <f t="shared" si="33"/>
        <v>45998</v>
      </c>
      <c r="F162" s="98">
        <f t="shared" si="34"/>
        <v>46004</v>
      </c>
      <c r="G162" s="98">
        <f t="shared" si="35"/>
        <v>45992</v>
      </c>
      <c r="H162" s="98">
        <f t="shared" si="36"/>
        <v>45999</v>
      </c>
      <c r="I162" s="98"/>
      <c r="J162" s="99"/>
      <c r="K162" s="25"/>
      <c r="L162" s="25"/>
      <c r="M162" s="25"/>
      <c r="N162" s="25"/>
    </row>
    <row r="163" spans="1:14" x14ac:dyDescent="0.25">
      <c r="A163" s="98">
        <v>45984</v>
      </c>
      <c r="B163" s="25" t="s">
        <v>390</v>
      </c>
      <c r="C163" s="98">
        <f t="shared" si="31"/>
        <v>46007</v>
      </c>
      <c r="D163" s="98">
        <f t="shared" si="32"/>
        <v>45991</v>
      </c>
      <c r="E163" s="98">
        <f t="shared" si="33"/>
        <v>45998</v>
      </c>
      <c r="F163" s="98">
        <f t="shared" si="34"/>
        <v>46004</v>
      </c>
      <c r="G163" s="98">
        <f t="shared" si="35"/>
        <v>45992</v>
      </c>
      <c r="H163" s="98">
        <f t="shared" si="36"/>
        <v>45999</v>
      </c>
      <c r="I163" s="98"/>
      <c r="J163" s="99"/>
      <c r="K163" s="25"/>
      <c r="L163" s="25"/>
      <c r="M163" s="25"/>
      <c r="N163" s="25"/>
    </row>
    <row r="164" spans="1:14" x14ac:dyDescent="0.25">
      <c r="A164" s="98">
        <v>45984</v>
      </c>
      <c r="B164" s="25" t="s">
        <v>391</v>
      </c>
      <c r="C164" s="98">
        <f t="shared" si="31"/>
        <v>46007</v>
      </c>
      <c r="D164" s="98">
        <f t="shared" si="32"/>
        <v>45991</v>
      </c>
      <c r="E164" s="98">
        <f t="shared" si="33"/>
        <v>45998</v>
      </c>
      <c r="F164" s="98">
        <f t="shared" si="34"/>
        <v>46004</v>
      </c>
      <c r="G164" s="98">
        <f t="shared" si="35"/>
        <v>45992</v>
      </c>
      <c r="H164" s="98">
        <f t="shared" si="36"/>
        <v>45999</v>
      </c>
      <c r="I164" s="98"/>
      <c r="J164" s="99"/>
      <c r="K164" s="25"/>
      <c r="L164" s="25"/>
      <c r="M164" s="25"/>
      <c r="N164" s="25"/>
    </row>
    <row r="165" spans="1:14" x14ac:dyDescent="0.25">
      <c r="A165" s="98">
        <v>45984</v>
      </c>
      <c r="B165" s="25" t="s">
        <v>392</v>
      </c>
      <c r="C165" s="98">
        <f t="shared" si="31"/>
        <v>46007</v>
      </c>
      <c r="D165" s="98">
        <f t="shared" si="32"/>
        <v>45991</v>
      </c>
      <c r="E165" s="98">
        <f t="shared" si="33"/>
        <v>45998</v>
      </c>
      <c r="F165" s="98">
        <f t="shared" si="34"/>
        <v>46004</v>
      </c>
      <c r="G165" s="98">
        <f t="shared" si="35"/>
        <v>45992</v>
      </c>
      <c r="H165" s="98">
        <f t="shared" si="36"/>
        <v>45999</v>
      </c>
      <c r="I165" s="98"/>
      <c r="J165" s="99"/>
      <c r="K165" s="25"/>
      <c r="L165" s="25"/>
      <c r="M165" s="25"/>
      <c r="N165" s="25"/>
    </row>
    <row r="166" spans="1:14" x14ac:dyDescent="0.25">
      <c r="A166" s="98">
        <v>45985</v>
      </c>
      <c r="B166" s="25" t="s">
        <v>373</v>
      </c>
      <c r="C166" s="98">
        <f t="shared" si="31"/>
        <v>46008</v>
      </c>
      <c r="D166" s="98">
        <f t="shared" si="32"/>
        <v>45992</v>
      </c>
      <c r="E166" s="98">
        <f t="shared" si="33"/>
        <v>45999</v>
      </c>
      <c r="F166" s="98">
        <f t="shared" si="34"/>
        <v>46005</v>
      </c>
      <c r="G166" s="98">
        <f t="shared" si="35"/>
        <v>45993</v>
      </c>
      <c r="H166" s="98">
        <f t="shared" si="36"/>
        <v>46000</v>
      </c>
      <c r="I166" s="98"/>
      <c r="J166" s="99"/>
      <c r="K166" s="25"/>
      <c r="L166" s="25"/>
      <c r="M166" s="25"/>
      <c r="N166" s="25"/>
    </row>
    <row r="167" spans="1:14" x14ac:dyDescent="0.25">
      <c r="A167" s="98">
        <v>45985</v>
      </c>
      <c r="B167" s="25" t="s">
        <v>374</v>
      </c>
      <c r="C167" s="98">
        <f t="shared" si="31"/>
        <v>46008</v>
      </c>
      <c r="D167" s="98">
        <f t="shared" si="32"/>
        <v>45992</v>
      </c>
      <c r="E167" s="98">
        <f t="shared" si="33"/>
        <v>45999</v>
      </c>
      <c r="F167" s="98">
        <f t="shared" si="34"/>
        <v>46005</v>
      </c>
      <c r="G167" s="98">
        <f t="shared" si="35"/>
        <v>45993</v>
      </c>
      <c r="H167" s="98">
        <f t="shared" si="36"/>
        <v>46000</v>
      </c>
      <c r="I167" s="98"/>
      <c r="J167" s="99"/>
      <c r="K167" s="25"/>
      <c r="L167" s="25"/>
      <c r="M167" s="25"/>
      <c r="N167" s="25"/>
    </row>
    <row r="168" spans="1:14" x14ac:dyDescent="0.25">
      <c r="A168" s="98">
        <v>45985</v>
      </c>
      <c r="B168" s="25" t="s">
        <v>375</v>
      </c>
      <c r="C168" s="98">
        <f t="shared" si="31"/>
        <v>46008</v>
      </c>
      <c r="D168" s="98">
        <f t="shared" si="32"/>
        <v>45992</v>
      </c>
      <c r="E168" s="98">
        <f t="shared" si="33"/>
        <v>45999</v>
      </c>
      <c r="F168" s="98">
        <f t="shared" si="34"/>
        <v>46005</v>
      </c>
      <c r="G168" s="98">
        <f t="shared" si="35"/>
        <v>45993</v>
      </c>
      <c r="H168" s="98">
        <f t="shared" si="36"/>
        <v>46000</v>
      </c>
      <c r="I168" s="98"/>
      <c r="J168" s="99"/>
      <c r="K168" s="25"/>
      <c r="L168" s="25"/>
      <c r="M168" s="25"/>
      <c r="N168" s="25"/>
    </row>
    <row r="169" spans="1:14" x14ac:dyDescent="0.25">
      <c r="A169" s="98">
        <v>45985</v>
      </c>
      <c r="B169" s="25" t="s">
        <v>376</v>
      </c>
      <c r="C169" s="98">
        <f t="shared" si="31"/>
        <v>46008</v>
      </c>
      <c r="D169" s="98">
        <f t="shared" si="32"/>
        <v>45992</v>
      </c>
      <c r="E169" s="98">
        <f t="shared" si="33"/>
        <v>45999</v>
      </c>
      <c r="F169" s="98">
        <f t="shared" si="34"/>
        <v>46005</v>
      </c>
      <c r="G169" s="98">
        <f t="shared" si="35"/>
        <v>45993</v>
      </c>
      <c r="H169" s="98">
        <f t="shared" si="36"/>
        <v>46000</v>
      </c>
      <c r="I169" s="98"/>
      <c r="J169" s="99"/>
      <c r="K169" s="25"/>
      <c r="L169" s="25"/>
      <c r="M169" s="25"/>
      <c r="N169" s="25"/>
    </row>
    <row r="170" spans="1:14" x14ac:dyDescent="0.25">
      <c r="A170" s="98">
        <v>45985</v>
      </c>
      <c r="B170" s="25" t="s">
        <v>377</v>
      </c>
      <c r="C170" s="98">
        <f t="shared" si="31"/>
        <v>46008</v>
      </c>
      <c r="D170" s="98">
        <f t="shared" si="32"/>
        <v>45992</v>
      </c>
      <c r="E170" s="98">
        <f t="shared" si="33"/>
        <v>45999</v>
      </c>
      <c r="F170" s="98">
        <f t="shared" si="34"/>
        <v>46005</v>
      </c>
      <c r="G170" s="98">
        <f t="shared" si="35"/>
        <v>45993</v>
      </c>
      <c r="H170" s="98">
        <f t="shared" si="36"/>
        <v>46000</v>
      </c>
      <c r="I170" s="98"/>
      <c r="J170" s="99"/>
      <c r="K170" s="25"/>
      <c r="L170" s="25"/>
      <c r="M170" s="25"/>
      <c r="N170" s="25"/>
    </row>
    <row r="171" spans="1:14" x14ac:dyDescent="0.25">
      <c r="A171" s="98">
        <v>45985</v>
      </c>
      <c r="B171" s="25" t="s">
        <v>393</v>
      </c>
      <c r="C171" s="98">
        <f t="shared" si="31"/>
        <v>46008</v>
      </c>
      <c r="D171" s="98">
        <f t="shared" si="32"/>
        <v>45992</v>
      </c>
      <c r="E171" s="98">
        <f t="shared" si="33"/>
        <v>45999</v>
      </c>
      <c r="F171" s="98">
        <f t="shared" si="34"/>
        <v>46005</v>
      </c>
      <c r="G171" s="98">
        <f t="shared" si="35"/>
        <v>45993</v>
      </c>
      <c r="H171" s="98">
        <f t="shared" si="36"/>
        <v>46000</v>
      </c>
      <c r="I171" s="98"/>
      <c r="J171" s="99"/>
      <c r="K171" s="25"/>
      <c r="L171" s="25"/>
      <c r="M171" s="25"/>
      <c r="N171" s="25"/>
    </row>
    <row r="172" spans="1:14" x14ac:dyDescent="0.25">
      <c r="A172" s="98">
        <v>45985</v>
      </c>
      <c r="B172" s="25" t="s">
        <v>394</v>
      </c>
      <c r="C172" s="98">
        <f t="shared" si="31"/>
        <v>46008</v>
      </c>
      <c r="D172" s="98">
        <f t="shared" si="32"/>
        <v>45992</v>
      </c>
      <c r="E172" s="98">
        <f t="shared" si="33"/>
        <v>45999</v>
      </c>
      <c r="F172" s="98">
        <f t="shared" si="34"/>
        <v>46005</v>
      </c>
      <c r="G172" s="98">
        <f t="shared" si="35"/>
        <v>45993</v>
      </c>
      <c r="H172" s="98">
        <f t="shared" si="36"/>
        <v>46000</v>
      </c>
      <c r="I172" s="98"/>
      <c r="J172" s="99"/>
      <c r="K172" s="25"/>
      <c r="L172" s="25"/>
      <c r="M172" s="25"/>
      <c r="N172" s="25"/>
    </row>
    <row r="173" spans="1:14" x14ac:dyDescent="0.25">
      <c r="A173" s="98">
        <v>45986</v>
      </c>
      <c r="B173" s="25" t="s">
        <v>395</v>
      </c>
      <c r="C173" s="98">
        <f t="shared" si="31"/>
        <v>46009</v>
      </c>
      <c r="D173" s="98">
        <f t="shared" si="32"/>
        <v>45993</v>
      </c>
      <c r="E173" s="98">
        <f t="shared" si="33"/>
        <v>46000</v>
      </c>
      <c r="F173" s="98">
        <f t="shared" si="34"/>
        <v>46006</v>
      </c>
      <c r="G173" s="98">
        <f t="shared" si="35"/>
        <v>45994</v>
      </c>
      <c r="H173" s="98">
        <f t="shared" si="36"/>
        <v>46001</v>
      </c>
      <c r="I173" s="98"/>
      <c r="J173" s="99"/>
      <c r="K173" s="25"/>
      <c r="L173" s="25"/>
      <c r="M173" s="25"/>
      <c r="N173" s="25"/>
    </row>
    <row r="174" spans="1:14" x14ac:dyDescent="0.25">
      <c r="A174" s="98">
        <v>45986</v>
      </c>
      <c r="B174" s="25" t="s">
        <v>396</v>
      </c>
      <c r="C174" s="98">
        <f t="shared" si="31"/>
        <v>46009</v>
      </c>
      <c r="D174" s="98">
        <f t="shared" si="32"/>
        <v>45993</v>
      </c>
      <c r="E174" s="98">
        <f t="shared" si="33"/>
        <v>46000</v>
      </c>
      <c r="F174" s="98">
        <f t="shared" si="34"/>
        <v>46006</v>
      </c>
      <c r="G174" s="98">
        <f t="shared" si="35"/>
        <v>45994</v>
      </c>
      <c r="H174" s="98">
        <f t="shared" si="36"/>
        <v>46001</v>
      </c>
      <c r="I174" s="98"/>
      <c r="J174" s="99"/>
      <c r="K174" s="25"/>
      <c r="L174" s="25"/>
      <c r="M174" s="25"/>
      <c r="N174" s="25"/>
    </row>
    <row r="175" spans="1:14" x14ac:dyDescent="0.25">
      <c r="A175" s="98">
        <v>45986</v>
      </c>
      <c r="B175" s="25" t="s">
        <v>397</v>
      </c>
      <c r="C175" s="98">
        <f t="shared" si="31"/>
        <v>46009</v>
      </c>
      <c r="D175" s="98">
        <f t="shared" si="32"/>
        <v>45993</v>
      </c>
      <c r="E175" s="98">
        <f t="shared" si="33"/>
        <v>46000</v>
      </c>
      <c r="F175" s="98">
        <f t="shared" si="34"/>
        <v>46006</v>
      </c>
      <c r="G175" s="98">
        <f t="shared" si="35"/>
        <v>45994</v>
      </c>
      <c r="H175" s="98">
        <f t="shared" si="36"/>
        <v>46001</v>
      </c>
      <c r="I175" s="98"/>
      <c r="J175" s="99"/>
      <c r="K175" s="25"/>
      <c r="L175" s="25"/>
      <c r="M175" s="25"/>
      <c r="N175" s="25"/>
    </row>
    <row r="176" spans="1:14" x14ac:dyDescent="0.25">
      <c r="A176" s="98">
        <v>45986</v>
      </c>
      <c r="B176" s="25" t="s">
        <v>408</v>
      </c>
      <c r="C176" s="98">
        <f t="shared" si="31"/>
        <v>46009</v>
      </c>
      <c r="D176" s="98">
        <f t="shared" si="32"/>
        <v>45993</v>
      </c>
      <c r="E176" s="98">
        <f t="shared" si="33"/>
        <v>46000</v>
      </c>
      <c r="F176" s="98">
        <f t="shared" si="34"/>
        <v>46006</v>
      </c>
      <c r="G176" s="98">
        <f t="shared" si="35"/>
        <v>45994</v>
      </c>
      <c r="H176" s="98">
        <f t="shared" si="36"/>
        <v>46001</v>
      </c>
      <c r="I176" s="98"/>
      <c r="J176" s="99"/>
      <c r="K176" s="25"/>
      <c r="L176" s="25"/>
      <c r="M176" s="25"/>
      <c r="N176" s="25"/>
    </row>
    <row r="177" spans="1:14" x14ac:dyDescent="0.25">
      <c r="A177" s="98">
        <v>45986</v>
      </c>
      <c r="B177" s="25" t="s">
        <v>409</v>
      </c>
      <c r="C177" s="98">
        <f t="shared" si="31"/>
        <v>46009</v>
      </c>
      <c r="D177" s="98">
        <f t="shared" si="32"/>
        <v>45993</v>
      </c>
      <c r="E177" s="98">
        <f t="shared" si="33"/>
        <v>46000</v>
      </c>
      <c r="F177" s="98">
        <f t="shared" si="34"/>
        <v>46006</v>
      </c>
      <c r="G177" s="98">
        <f t="shared" si="35"/>
        <v>45994</v>
      </c>
      <c r="H177" s="98">
        <f t="shared" si="36"/>
        <v>46001</v>
      </c>
      <c r="I177" s="98"/>
      <c r="J177" s="99"/>
      <c r="K177" s="25"/>
      <c r="L177" s="25"/>
      <c r="M177" s="25"/>
      <c r="N177" s="25"/>
    </row>
    <row r="178" spans="1:14" x14ac:dyDescent="0.25">
      <c r="A178" s="98">
        <v>45986</v>
      </c>
      <c r="B178" s="25" t="s">
        <v>410</v>
      </c>
      <c r="C178" s="98">
        <f t="shared" si="31"/>
        <v>46009</v>
      </c>
      <c r="D178" s="98">
        <f t="shared" si="32"/>
        <v>45993</v>
      </c>
      <c r="E178" s="98">
        <f t="shared" si="33"/>
        <v>46000</v>
      </c>
      <c r="F178" s="98">
        <f t="shared" si="34"/>
        <v>46006</v>
      </c>
      <c r="G178" s="98">
        <f t="shared" si="35"/>
        <v>45994</v>
      </c>
      <c r="H178" s="98">
        <f t="shared" si="36"/>
        <v>46001</v>
      </c>
      <c r="I178" s="98"/>
      <c r="J178" s="99"/>
      <c r="K178" s="25"/>
      <c r="L178" s="25"/>
      <c r="M178" s="25"/>
      <c r="N178" s="25"/>
    </row>
    <row r="179" spans="1:14" x14ac:dyDescent="0.25">
      <c r="A179" s="98">
        <v>45986</v>
      </c>
      <c r="B179" s="25" t="s">
        <v>411</v>
      </c>
      <c r="C179" s="98">
        <f t="shared" si="31"/>
        <v>46009</v>
      </c>
      <c r="D179" s="98">
        <f t="shared" si="32"/>
        <v>45993</v>
      </c>
      <c r="E179" s="98">
        <f t="shared" si="33"/>
        <v>46000</v>
      </c>
      <c r="F179" s="98">
        <f t="shared" si="34"/>
        <v>46006</v>
      </c>
      <c r="G179" s="98">
        <f t="shared" si="35"/>
        <v>45994</v>
      </c>
      <c r="H179" s="98">
        <f t="shared" si="36"/>
        <v>46001</v>
      </c>
      <c r="I179" s="98"/>
      <c r="J179" s="99"/>
      <c r="K179" s="25"/>
      <c r="L179" s="25"/>
      <c r="M179" s="25"/>
      <c r="N179" s="25"/>
    </row>
    <row r="180" spans="1:14" x14ac:dyDescent="0.25">
      <c r="A180" s="98">
        <v>45987</v>
      </c>
      <c r="B180" s="25" t="s">
        <v>404</v>
      </c>
      <c r="C180" s="98">
        <f t="shared" si="31"/>
        <v>46010</v>
      </c>
      <c r="D180" s="98">
        <f t="shared" si="32"/>
        <v>45994</v>
      </c>
      <c r="E180" s="98">
        <f t="shared" si="33"/>
        <v>46001</v>
      </c>
      <c r="F180" s="98">
        <f t="shared" si="34"/>
        <v>46007</v>
      </c>
      <c r="G180" s="98">
        <f t="shared" si="35"/>
        <v>45995</v>
      </c>
      <c r="H180" s="98">
        <f t="shared" si="36"/>
        <v>46002</v>
      </c>
      <c r="I180" s="98"/>
      <c r="J180" s="99"/>
      <c r="K180" s="25"/>
      <c r="L180" s="25"/>
      <c r="M180" s="25"/>
      <c r="N180" s="25"/>
    </row>
    <row r="181" spans="1:14" x14ac:dyDescent="0.25">
      <c r="A181" s="98">
        <v>45987</v>
      </c>
      <c r="B181" s="25" t="s">
        <v>405</v>
      </c>
      <c r="C181" s="98">
        <f t="shared" si="31"/>
        <v>46010</v>
      </c>
      <c r="D181" s="98">
        <f t="shared" si="32"/>
        <v>45994</v>
      </c>
      <c r="E181" s="98">
        <f t="shared" si="33"/>
        <v>46001</v>
      </c>
      <c r="F181" s="98">
        <f t="shared" si="34"/>
        <v>46007</v>
      </c>
      <c r="G181" s="98">
        <f t="shared" si="35"/>
        <v>45995</v>
      </c>
      <c r="H181" s="98">
        <f t="shared" si="36"/>
        <v>46002</v>
      </c>
      <c r="I181" s="98"/>
      <c r="J181" s="99"/>
      <c r="K181" s="25"/>
      <c r="L181" s="25"/>
      <c r="M181" s="25"/>
      <c r="N181" s="25"/>
    </row>
    <row r="182" spans="1:14" x14ac:dyDescent="0.25">
      <c r="A182" s="98">
        <v>45987</v>
      </c>
      <c r="B182" s="25" t="s">
        <v>406</v>
      </c>
      <c r="C182" s="98">
        <f t="shared" si="31"/>
        <v>46010</v>
      </c>
      <c r="D182" s="98">
        <f t="shared" si="32"/>
        <v>45994</v>
      </c>
      <c r="E182" s="98">
        <f t="shared" si="33"/>
        <v>46001</v>
      </c>
      <c r="F182" s="98">
        <f t="shared" si="34"/>
        <v>46007</v>
      </c>
      <c r="G182" s="98">
        <f t="shared" si="35"/>
        <v>45995</v>
      </c>
      <c r="H182" s="98">
        <f t="shared" si="36"/>
        <v>46002</v>
      </c>
      <c r="I182" s="98"/>
      <c r="J182" s="99"/>
      <c r="K182" s="25"/>
      <c r="L182" s="25"/>
      <c r="M182" s="25"/>
      <c r="N182" s="25"/>
    </row>
    <row r="183" spans="1:14" x14ac:dyDescent="0.25">
      <c r="A183" s="98">
        <v>45987</v>
      </c>
      <c r="B183" s="25" t="s">
        <v>407</v>
      </c>
      <c r="C183" s="98">
        <f t="shared" si="31"/>
        <v>46010</v>
      </c>
      <c r="D183" s="98">
        <f t="shared" si="32"/>
        <v>45994</v>
      </c>
      <c r="E183" s="98">
        <f t="shared" si="33"/>
        <v>46001</v>
      </c>
      <c r="F183" s="98">
        <f t="shared" si="34"/>
        <v>46007</v>
      </c>
      <c r="G183" s="98">
        <f t="shared" si="35"/>
        <v>45995</v>
      </c>
      <c r="H183" s="98">
        <f t="shared" si="36"/>
        <v>46002</v>
      </c>
      <c r="I183" s="98"/>
      <c r="J183" s="99"/>
      <c r="K183" s="25"/>
      <c r="L183" s="25"/>
      <c r="M183" s="25"/>
      <c r="N183" s="25"/>
    </row>
    <row r="184" spans="1:14" x14ac:dyDescent="0.25">
      <c r="A184" s="98">
        <v>45987</v>
      </c>
      <c r="B184" s="25" t="s">
        <v>431</v>
      </c>
      <c r="C184" s="98">
        <f t="shared" si="31"/>
        <v>46010</v>
      </c>
      <c r="D184" s="98">
        <f t="shared" si="32"/>
        <v>45994</v>
      </c>
      <c r="E184" s="98">
        <f t="shared" si="33"/>
        <v>46001</v>
      </c>
      <c r="F184" s="98">
        <f t="shared" si="34"/>
        <v>46007</v>
      </c>
      <c r="G184" s="98">
        <f t="shared" si="35"/>
        <v>45995</v>
      </c>
      <c r="H184" s="98">
        <f t="shared" si="36"/>
        <v>46002</v>
      </c>
      <c r="I184" s="98"/>
      <c r="J184" s="99"/>
      <c r="K184" s="25"/>
      <c r="L184" s="25"/>
      <c r="M184" s="25"/>
      <c r="N184" s="25"/>
    </row>
    <row r="185" spans="1:14" x14ac:dyDescent="0.25">
      <c r="A185" s="98">
        <v>45987</v>
      </c>
      <c r="B185" s="25" t="s">
        <v>432</v>
      </c>
      <c r="C185" s="98">
        <f t="shared" si="31"/>
        <v>46010</v>
      </c>
      <c r="D185" s="98">
        <f t="shared" si="32"/>
        <v>45994</v>
      </c>
      <c r="E185" s="98">
        <f t="shared" si="33"/>
        <v>46001</v>
      </c>
      <c r="F185" s="98">
        <f t="shared" si="34"/>
        <v>46007</v>
      </c>
      <c r="G185" s="98">
        <f t="shared" si="35"/>
        <v>45995</v>
      </c>
      <c r="H185" s="98">
        <f t="shared" si="36"/>
        <v>46002</v>
      </c>
      <c r="I185" s="98"/>
      <c r="J185" s="99"/>
      <c r="K185" s="25"/>
      <c r="L185" s="25"/>
      <c r="M185" s="25"/>
      <c r="N185" s="25"/>
    </row>
    <row r="186" spans="1:14" x14ac:dyDescent="0.25">
      <c r="A186" s="98">
        <v>45987</v>
      </c>
      <c r="B186" s="25" t="s">
        <v>433</v>
      </c>
      <c r="C186" s="98">
        <f t="shared" si="31"/>
        <v>46010</v>
      </c>
      <c r="D186" s="98">
        <f t="shared" si="32"/>
        <v>45994</v>
      </c>
      <c r="E186" s="98">
        <f t="shared" si="33"/>
        <v>46001</v>
      </c>
      <c r="F186" s="98">
        <f t="shared" si="34"/>
        <v>46007</v>
      </c>
      <c r="G186" s="98">
        <f t="shared" si="35"/>
        <v>45995</v>
      </c>
      <c r="H186" s="98">
        <f t="shared" si="36"/>
        <v>46002</v>
      </c>
      <c r="I186" s="98"/>
      <c r="J186" s="99"/>
      <c r="K186" s="25"/>
      <c r="L186" s="25"/>
      <c r="M186" s="25"/>
      <c r="N186" s="25"/>
    </row>
    <row r="187" spans="1:14" x14ac:dyDescent="0.25">
      <c r="A187" s="98">
        <v>45987</v>
      </c>
      <c r="B187" s="25" t="s">
        <v>434</v>
      </c>
      <c r="C187" s="98">
        <f t="shared" si="31"/>
        <v>46010</v>
      </c>
      <c r="D187" s="98">
        <f t="shared" si="32"/>
        <v>45994</v>
      </c>
      <c r="E187" s="98">
        <f t="shared" si="33"/>
        <v>46001</v>
      </c>
      <c r="F187" s="98">
        <f t="shared" si="34"/>
        <v>46007</v>
      </c>
      <c r="G187" s="98">
        <f t="shared" si="35"/>
        <v>45995</v>
      </c>
      <c r="H187" s="98">
        <f t="shared" si="36"/>
        <v>46002</v>
      </c>
      <c r="I187" s="98"/>
      <c r="J187" s="99"/>
      <c r="K187" s="25"/>
      <c r="L187" s="25"/>
      <c r="M187" s="25"/>
      <c r="N187" s="25"/>
    </row>
    <row r="188" spans="1:14" x14ac:dyDescent="0.25">
      <c r="A188" s="98">
        <v>45988</v>
      </c>
      <c r="B188" s="25" t="s">
        <v>428</v>
      </c>
      <c r="C188" s="98">
        <f t="shared" si="31"/>
        <v>46011</v>
      </c>
      <c r="D188" s="98">
        <f t="shared" si="32"/>
        <v>45995</v>
      </c>
      <c r="E188" s="98">
        <f t="shared" si="33"/>
        <v>46002</v>
      </c>
      <c r="F188" s="98">
        <f t="shared" si="34"/>
        <v>46008</v>
      </c>
      <c r="G188" s="98">
        <f t="shared" si="35"/>
        <v>45996</v>
      </c>
      <c r="H188" s="98">
        <f t="shared" si="36"/>
        <v>46003</v>
      </c>
      <c r="I188" s="98"/>
      <c r="J188" s="99"/>
      <c r="K188" s="25"/>
      <c r="L188" s="25"/>
      <c r="M188" s="25"/>
      <c r="N188" s="25"/>
    </row>
    <row r="189" spans="1:14" x14ac:dyDescent="0.25">
      <c r="A189" s="98">
        <v>45988</v>
      </c>
      <c r="B189" s="25" t="s">
        <v>429</v>
      </c>
      <c r="C189" s="98">
        <f t="shared" si="31"/>
        <v>46011</v>
      </c>
      <c r="D189" s="98">
        <f t="shared" si="32"/>
        <v>45995</v>
      </c>
      <c r="E189" s="98">
        <f t="shared" si="33"/>
        <v>46002</v>
      </c>
      <c r="F189" s="98">
        <f t="shared" si="34"/>
        <v>46008</v>
      </c>
      <c r="G189" s="98">
        <f t="shared" si="35"/>
        <v>45996</v>
      </c>
      <c r="H189" s="98">
        <f t="shared" si="36"/>
        <v>46003</v>
      </c>
      <c r="I189" s="98"/>
      <c r="J189" s="99"/>
      <c r="K189" s="25"/>
      <c r="L189" s="25"/>
      <c r="M189" s="25"/>
      <c r="N189" s="25"/>
    </row>
    <row r="190" spans="1:14" x14ac:dyDescent="0.25">
      <c r="A190" s="98">
        <v>45988</v>
      </c>
      <c r="B190" s="25" t="s">
        <v>430</v>
      </c>
      <c r="C190" s="98">
        <f t="shared" si="31"/>
        <v>46011</v>
      </c>
      <c r="D190" s="98">
        <f t="shared" si="32"/>
        <v>45995</v>
      </c>
      <c r="E190" s="98">
        <f t="shared" si="33"/>
        <v>46002</v>
      </c>
      <c r="F190" s="98">
        <f t="shared" si="34"/>
        <v>46008</v>
      </c>
      <c r="G190" s="98">
        <f t="shared" si="35"/>
        <v>45996</v>
      </c>
      <c r="H190" s="98">
        <f t="shared" si="36"/>
        <v>46003</v>
      </c>
      <c r="I190" s="98"/>
      <c r="J190" s="99"/>
      <c r="K190" s="25"/>
      <c r="L190" s="25"/>
      <c r="M190" s="25"/>
      <c r="N190" s="25"/>
    </row>
    <row r="191" spans="1:14" x14ac:dyDescent="0.25">
      <c r="A191" s="98">
        <v>45988</v>
      </c>
      <c r="B191" s="25" t="s">
        <v>559</v>
      </c>
      <c r="C191" s="98">
        <f t="shared" si="31"/>
        <v>46011</v>
      </c>
      <c r="D191" s="98">
        <f t="shared" si="32"/>
        <v>45995</v>
      </c>
      <c r="E191" s="98">
        <f t="shared" si="33"/>
        <v>46002</v>
      </c>
      <c r="F191" s="98">
        <f t="shared" si="34"/>
        <v>46008</v>
      </c>
      <c r="G191" s="98">
        <f t="shared" si="35"/>
        <v>45996</v>
      </c>
      <c r="H191" s="98">
        <f t="shared" si="36"/>
        <v>46003</v>
      </c>
      <c r="I191" s="98"/>
      <c r="J191" s="99"/>
      <c r="K191" s="25"/>
      <c r="L191" s="25"/>
      <c r="M191" s="25"/>
      <c r="N191" s="25"/>
    </row>
    <row r="192" spans="1:14" x14ac:dyDescent="0.25">
      <c r="A192" s="98">
        <v>45988</v>
      </c>
      <c r="B192" s="25" t="s">
        <v>560</v>
      </c>
      <c r="C192" s="98">
        <f t="shared" si="31"/>
        <v>46011</v>
      </c>
      <c r="D192" s="98">
        <f t="shared" si="32"/>
        <v>45995</v>
      </c>
      <c r="E192" s="98">
        <f t="shared" si="33"/>
        <v>46002</v>
      </c>
      <c r="F192" s="98">
        <f t="shared" si="34"/>
        <v>46008</v>
      </c>
      <c r="G192" s="98">
        <f t="shared" si="35"/>
        <v>45996</v>
      </c>
      <c r="H192" s="98">
        <f t="shared" si="36"/>
        <v>46003</v>
      </c>
      <c r="I192" s="98"/>
      <c r="J192" s="99"/>
      <c r="K192" s="25"/>
      <c r="L192" s="25"/>
      <c r="M192" s="25"/>
      <c r="N192" s="25"/>
    </row>
    <row r="193" spans="1:14" x14ac:dyDescent="0.25">
      <c r="A193" s="98">
        <v>45988</v>
      </c>
      <c r="B193" s="25" t="s">
        <v>561</v>
      </c>
      <c r="C193" s="98">
        <f t="shared" si="31"/>
        <v>46011</v>
      </c>
      <c r="D193" s="98">
        <f t="shared" si="32"/>
        <v>45995</v>
      </c>
      <c r="E193" s="98">
        <f t="shared" si="33"/>
        <v>46002</v>
      </c>
      <c r="F193" s="98">
        <f t="shared" si="34"/>
        <v>46008</v>
      </c>
      <c r="G193" s="98">
        <f t="shared" si="35"/>
        <v>45996</v>
      </c>
      <c r="H193" s="98">
        <f t="shared" si="36"/>
        <v>46003</v>
      </c>
      <c r="I193" s="98"/>
      <c r="J193" s="99"/>
      <c r="K193" s="25"/>
      <c r="L193" s="25"/>
      <c r="M193" s="25"/>
      <c r="N193" s="25"/>
    </row>
    <row r="194" spans="1:14" x14ac:dyDescent="0.25">
      <c r="A194" s="98">
        <v>45988</v>
      </c>
      <c r="B194" s="25" t="s">
        <v>562</v>
      </c>
      <c r="C194" s="98">
        <f t="shared" si="31"/>
        <v>46011</v>
      </c>
      <c r="D194" s="98">
        <f t="shared" si="32"/>
        <v>45995</v>
      </c>
      <c r="E194" s="98">
        <f t="shared" si="33"/>
        <v>46002</v>
      </c>
      <c r="F194" s="98">
        <f t="shared" si="34"/>
        <v>46008</v>
      </c>
      <c r="G194" s="98">
        <f t="shared" si="35"/>
        <v>45996</v>
      </c>
      <c r="H194" s="98">
        <f t="shared" si="36"/>
        <v>46003</v>
      </c>
      <c r="I194" s="98"/>
      <c r="J194" s="99"/>
      <c r="K194" s="25"/>
      <c r="L194" s="25"/>
      <c r="M194" s="25"/>
      <c r="N194" s="25"/>
    </row>
    <row r="195" spans="1:14" x14ac:dyDescent="0.25">
      <c r="A195" s="98">
        <v>45989</v>
      </c>
      <c r="B195" s="25" t="s">
        <v>563</v>
      </c>
      <c r="C195" s="98">
        <f t="shared" si="31"/>
        <v>46012</v>
      </c>
      <c r="D195" s="98">
        <f t="shared" si="32"/>
        <v>45996</v>
      </c>
      <c r="E195" s="98">
        <f t="shared" si="33"/>
        <v>46003</v>
      </c>
      <c r="F195" s="98">
        <f t="shared" si="34"/>
        <v>46009</v>
      </c>
      <c r="G195" s="98">
        <f t="shared" si="35"/>
        <v>45997</v>
      </c>
      <c r="H195" s="98">
        <f t="shared" si="36"/>
        <v>46004</v>
      </c>
      <c r="I195" s="98"/>
      <c r="J195" s="99"/>
      <c r="K195" s="25"/>
      <c r="L195" s="25"/>
      <c r="M195" s="25"/>
      <c r="N195" s="25"/>
    </row>
    <row r="196" spans="1:14" x14ac:dyDescent="0.25">
      <c r="A196" s="98">
        <v>45989</v>
      </c>
      <c r="B196" s="25" t="s">
        <v>564</v>
      </c>
      <c r="C196" s="98">
        <f t="shared" si="31"/>
        <v>46012</v>
      </c>
      <c r="D196" s="98">
        <f t="shared" si="32"/>
        <v>45996</v>
      </c>
      <c r="E196" s="98">
        <f t="shared" si="33"/>
        <v>46003</v>
      </c>
      <c r="F196" s="98">
        <f t="shared" si="34"/>
        <v>46009</v>
      </c>
      <c r="G196" s="98">
        <f t="shared" si="35"/>
        <v>45997</v>
      </c>
      <c r="H196" s="98">
        <f t="shared" si="36"/>
        <v>46004</v>
      </c>
      <c r="I196" s="98"/>
      <c r="J196" s="99"/>
      <c r="K196" s="25"/>
      <c r="L196" s="25"/>
      <c r="M196" s="25"/>
      <c r="N196" s="25"/>
    </row>
    <row r="197" spans="1:14" x14ac:dyDescent="0.25">
      <c r="A197" s="98">
        <v>45989</v>
      </c>
      <c r="B197" s="25" t="s">
        <v>565</v>
      </c>
      <c r="C197" s="98">
        <f t="shared" si="31"/>
        <v>46012</v>
      </c>
      <c r="D197" s="98">
        <f t="shared" si="32"/>
        <v>45996</v>
      </c>
      <c r="E197" s="98">
        <f t="shared" si="33"/>
        <v>46003</v>
      </c>
      <c r="F197" s="98">
        <f t="shared" si="34"/>
        <v>46009</v>
      </c>
      <c r="G197" s="98">
        <f t="shared" si="35"/>
        <v>45997</v>
      </c>
      <c r="H197" s="98">
        <f t="shared" si="36"/>
        <v>46004</v>
      </c>
      <c r="I197" s="98"/>
      <c r="J197" s="99"/>
      <c r="K197" s="25"/>
      <c r="L197" s="25"/>
      <c r="M197" s="25"/>
      <c r="N197" s="25"/>
    </row>
    <row r="198" spans="1:14" x14ac:dyDescent="0.25">
      <c r="A198" s="98">
        <v>45989</v>
      </c>
      <c r="B198" s="25" t="s">
        <v>566</v>
      </c>
      <c r="C198" s="98">
        <f t="shared" si="31"/>
        <v>46012</v>
      </c>
      <c r="D198" s="98">
        <f t="shared" si="32"/>
        <v>45996</v>
      </c>
      <c r="E198" s="98">
        <f t="shared" si="33"/>
        <v>46003</v>
      </c>
      <c r="F198" s="98">
        <f t="shared" si="34"/>
        <v>46009</v>
      </c>
      <c r="G198" s="98">
        <f t="shared" si="35"/>
        <v>45997</v>
      </c>
      <c r="H198" s="98">
        <f t="shared" si="36"/>
        <v>46004</v>
      </c>
      <c r="I198" s="98"/>
      <c r="J198" s="99"/>
      <c r="K198" s="25"/>
      <c r="L198" s="25"/>
      <c r="M198" s="25"/>
      <c r="N198" s="25"/>
    </row>
    <row r="199" spans="1:14" x14ac:dyDescent="0.25">
      <c r="A199" s="98">
        <v>45989</v>
      </c>
      <c r="B199" s="25" t="s">
        <v>567</v>
      </c>
      <c r="C199" s="98">
        <f t="shared" si="31"/>
        <v>46012</v>
      </c>
      <c r="D199" s="98">
        <f t="shared" si="32"/>
        <v>45996</v>
      </c>
      <c r="E199" s="98">
        <f t="shared" si="33"/>
        <v>46003</v>
      </c>
      <c r="F199" s="98">
        <f t="shared" si="34"/>
        <v>46009</v>
      </c>
      <c r="G199" s="98">
        <f t="shared" si="35"/>
        <v>45997</v>
      </c>
      <c r="H199" s="98">
        <f t="shared" si="36"/>
        <v>46004</v>
      </c>
      <c r="I199" s="98"/>
      <c r="J199" s="99"/>
      <c r="K199" s="25"/>
      <c r="L199" s="25"/>
      <c r="M199" s="25"/>
      <c r="N199" s="25"/>
    </row>
    <row r="200" spans="1:14" x14ac:dyDescent="0.25">
      <c r="A200" s="98">
        <v>45989</v>
      </c>
      <c r="B200" s="25" t="s">
        <v>568</v>
      </c>
      <c r="C200" s="98">
        <f t="shared" si="31"/>
        <v>46012</v>
      </c>
      <c r="D200" s="98">
        <f t="shared" si="32"/>
        <v>45996</v>
      </c>
      <c r="E200" s="98">
        <f t="shared" si="33"/>
        <v>46003</v>
      </c>
      <c r="F200" s="98">
        <f t="shared" si="34"/>
        <v>46009</v>
      </c>
      <c r="G200" s="98">
        <f t="shared" si="35"/>
        <v>45997</v>
      </c>
      <c r="H200" s="98">
        <f t="shared" si="36"/>
        <v>46004</v>
      </c>
      <c r="I200" s="98"/>
      <c r="J200" s="99"/>
      <c r="K200" s="25"/>
      <c r="L200" s="25"/>
      <c r="M200" s="25"/>
      <c r="N200" s="25"/>
    </row>
    <row r="201" spans="1:14" x14ac:dyDescent="0.25">
      <c r="A201" s="98">
        <v>45989</v>
      </c>
      <c r="B201" s="25" t="s">
        <v>569</v>
      </c>
      <c r="C201" s="98">
        <f t="shared" si="31"/>
        <v>46012</v>
      </c>
      <c r="D201" s="98">
        <f t="shared" si="32"/>
        <v>45996</v>
      </c>
      <c r="E201" s="98">
        <f t="shared" si="33"/>
        <v>46003</v>
      </c>
      <c r="F201" s="98">
        <f t="shared" si="34"/>
        <v>46009</v>
      </c>
      <c r="G201" s="98">
        <f t="shared" si="35"/>
        <v>45997</v>
      </c>
      <c r="H201" s="98">
        <f t="shared" si="36"/>
        <v>46004</v>
      </c>
      <c r="I201" s="98"/>
      <c r="J201" s="99"/>
      <c r="K201" s="25"/>
      <c r="L201" s="25"/>
      <c r="M201" s="25"/>
      <c r="N201" s="25"/>
    </row>
    <row r="202" spans="1:14" x14ac:dyDescent="0.25">
      <c r="A202" s="98">
        <v>45990</v>
      </c>
      <c r="B202" s="25" t="s">
        <v>570</v>
      </c>
      <c r="C202" s="98">
        <f t="shared" si="31"/>
        <v>46013</v>
      </c>
      <c r="D202" s="98">
        <f t="shared" si="32"/>
        <v>45997</v>
      </c>
      <c r="E202" s="98">
        <f t="shared" si="33"/>
        <v>46004</v>
      </c>
      <c r="F202" s="98">
        <f t="shared" si="34"/>
        <v>46010</v>
      </c>
      <c r="G202" s="98">
        <f t="shared" si="35"/>
        <v>45998</v>
      </c>
      <c r="H202" s="98">
        <f t="shared" si="36"/>
        <v>46005</v>
      </c>
      <c r="I202" s="98"/>
      <c r="J202" s="99"/>
      <c r="K202" s="25"/>
      <c r="L202" s="25"/>
      <c r="M202" s="25"/>
      <c r="N202" s="25"/>
    </row>
    <row r="203" spans="1:14" x14ac:dyDescent="0.25">
      <c r="A203" s="98">
        <v>45990</v>
      </c>
      <c r="B203" s="25" t="s">
        <v>571</v>
      </c>
      <c r="C203" s="98">
        <f t="shared" si="31"/>
        <v>46013</v>
      </c>
      <c r="D203" s="98">
        <f t="shared" si="32"/>
        <v>45997</v>
      </c>
      <c r="E203" s="98">
        <f t="shared" si="33"/>
        <v>46004</v>
      </c>
      <c r="F203" s="98">
        <f t="shared" si="34"/>
        <v>46010</v>
      </c>
      <c r="G203" s="98">
        <f t="shared" si="35"/>
        <v>45998</v>
      </c>
      <c r="H203" s="98">
        <f t="shared" si="36"/>
        <v>46005</v>
      </c>
      <c r="I203" s="98"/>
      <c r="J203" s="99"/>
      <c r="K203" s="25"/>
      <c r="L203" s="25"/>
      <c r="M203" s="25"/>
      <c r="N203" s="25"/>
    </row>
    <row r="204" spans="1:14" x14ac:dyDescent="0.25">
      <c r="A204" s="98">
        <v>45990</v>
      </c>
      <c r="B204" s="25" t="s">
        <v>572</v>
      </c>
      <c r="C204" s="98">
        <f t="shared" si="31"/>
        <v>46013</v>
      </c>
      <c r="D204" s="98">
        <f t="shared" si="32"/>
        <v>45997</v>
      </c>
      <c r="E204" s="98">
        <f t="shared" si="33"/>
        <v>46004</v>
      </c>
      <c r="F204" s="98">
        <f t="shared" si="34"/>
        <v>46010</v>
      </c>
      <c r="G204" s="98">
        <f t="shared" si="35"/>
        <v>45998</v>
      </c>
      <c r="H204" s="98">
        <f t="shared" si="36"/>
        <v>46005</v>
      </c>
      <c r="I204" s="98"/>
      <c r="J204" s="99"/>
      <c r="K204" s="25"/>
      <c r="L204" s="25"/>
      <c r="M204" s="25"/>
      <c r="N204" s="25"/>
    </row>
    <row r="205" spans="1:14" x14ac:dyDescent="0.25">
      <c r="A205" s="98">
        <v>45990</v>
      </c>
      <c r="B205" s="25" t="s">
        <v>573</v>
      </c>
      <c r="C205" s="98">
        <f t="shared" si="31"/>
        <v>46013</v>
      </c>
      <c r="D205" s="98">
        <f t="shared" si="32"/>
        <v>45997</v>
      </c>
      <c r="E205" s="98">
        <f t="shared" si="33"/>
        <v>46004</v>
      </c>
      <c r="F205" s="98">
        <f t="shared" si="34"/>
        <v>46010</v>
      </c>
      <c r="G205" s="98">
        <f t="shared" si="35"/>
        <v>45998</v>
      </c>
      <c r="H205" s="98">
        <f t="shared" si="36"/>
        <v>46005</v>
      </c>
      <c r="I205" s="98"/>
      <c r="J205" s="99"/>
      <c r="K205" s="25"/>
      <c r="L205" s="25"/>
      <c r="M205" s="25"/>
      <c r="N205" s="25"/>
    </row>
    <row r="206" spans="1:14" x14ac:dyDescent="0.25">
      <c r="A206" s="98">
        <v>45990</v>
      </c>
      <c r="B206" s="25" t="s">
        <v>574</v>
      </c>
      <c r="C206" s="98">
        <f t="shared" si="31"/>
        <v>46013</v>
      </c>
      <c r="D206" s="98">
        <f t="shared" si="32"/>
        <v>45997</v>
      </c>
      <c r="E206" s="98">
        <f t="shared" si="33"/>
        <v>46004</v>
      </c>
      <c r="F206" s="98">
        <f t="shared" si="34"/>
        <v>46010</v>
      </c>
      <c r="G206" s="98">
        <f t="shared" si="35"/>
        <v>45998</v>
      </c>
      <c r="H206" s="98">
        <f t="shared" si="36"/>
        <v>46005</v>
      </c>
      <c r="I206" s="98"/>
      <c r="J206" s="99"/>
      <c r="K206" s="25"/>
      <c r="L206" s="25"/>
      <c r="M206" s="25"/>
      <c r="N206" s="25"/>
    </row>
    <row r="207" spans="1:14" x14ac:dyDescent="0.25">
      <c r="A207" s="98">
        <v>45990</v>
      </c>
      <c r="B207" s="25" t="s">
        <v>575</v>
      </c>
      <c r="C207" s="98">
        <f t="shared" si="31"/>
        <v>46013</v>
      </c>
      <c r="D207" s="98">
        <f t="shared" si="32"/>
        <v>45997</v>
      </c>
      <c r="E207" s="98">
        <f t="shared" si="33"/>
        <v>46004</v>
      </c>
      <c r="F207" s="98">
        <f t="shared" si="34"/>
        <v>46010</v>
      </c>
      <c r="G207" s="98">
        <f t="shared" si="35"/>
        <v>45998</v>
      </c>
      <c r="H207" s="98">
        <f t="shared" si="36"/>
        <v>46005</v>
      </c>
      <c r="I207" s="98"/>
      <c r="J207" s="99"/>
      <c r="K207" s="25"/>
      <c r="L207" s="25"/>
      <c r="M207" s="25"/>
      <c r="N207" s="25"/>
    </row>
    <row r="208" spans="1:14" x14ac:dyDescent="0.25">
      <c r="A208" s="98">
        <v>45990</v>
      </c>
      <c r="B208" s="25" t="s">
        <v>576</v>
      </c>
      <c r="C208" s="98">
        <f t="shared" ref="C208:C222" si="37">A208+23</f>
        <v>46013</v>
      </c>
      <c r="D208" s="98">
        <f t="shared" ref="D208:D222" si="38">A208+7</f>
        <v>45997</v>
      </c>
      <c r="E208" s="98">
        <f t="shared" ref="E208:E222" si="39">A208+14</f>
        <v>46004</v>
      </c>
      <c r="F208" s="98">
        <f t="shared" ref="F208:F222" si="40">A208+20</f>
        <v>46010</v>
      </c>
      <c r="G208" s="98">
        <f t="shared" ref="G208:G222" si="41">A208+8</f>
        <v>45998</v>
      </c>
      <c r="H208" s="98">
        <f t="shared" ref="H208:H222" si="42">A208+15</f>
        <v>46005</v>
      </c>
      <c r="I208" s="98"/>
      <c r="J208" s="99"/>
      <c r="K208" s="25"/>
      <c r="L208" s="25"/>
      <c r="M208" s="25"/>
      <c r="N208" s="25"/>
    </row>
    <row r="209" spans="1:14" x14ac:dyDescent="0.25">
      <c r="A209" s="98">
        <v>45991</v>
      </c>
      <c r="B209" s="25" t="s">
        <v>458</v>
      </c>
      <c r="C209" s="98">
        <f t="shared" si="37"/>
        <v>46014</v>
      </c>
      <c r="D209" s="98">
        <f t="shared" si="38"/>
        <v>45998</v>
      </c>
      <c r="E209" s="98">
        <f t="shared" si="39"/>
        <v>46005</v>
      </c>
      <c r="F209" s="98">
        <f t="shared" si="40"/>
        <v>46011</v>
      </c>
      <c r="G209" s="98">
        <f t="shared" si="41"/>
        <v>45999</v>
      </c>
      <c r="H209" s="98">
        <f t="shared" si="42"/>
        <v>46006</v>
      </c>
      <c r="I209" s="98"/>
      <c r="J209" s="99"/>
      <c r="K209" s="25"/>
      <c r="L209" s="25"/>
      <c r="M209" s="25"/>
      <c r="N209" s="25"/>
    </row>
    <row r="210" spans="1:14" x14ac:dyDescent="0.25">
      <c r="A210" s="98">
        <v>45991</v>
      </c>
      <c r="B210" s="25" t="s">
        <v>459</v>
      </c>
      <c r="C210" s="98">
        <f t="shared" si="37"/>
        <v>46014</v>
      </c>
      <c r="D210" s="98">
        <f t="shared" si="38"/>
        <v>45998</v>
      </c>
      <c r="E210" s="98">
        <f t="shared" si="39"/>
        <v>46005</v>
      </c>
      <c r="F210" s="98">
        <f t="shared" si="40"/>
        <v>46011</v>
      </c>
      <c r="G210" s="98">
        <f t="shared" si="41"/>
        <v>45999</v>
      </c>
      <c r="H210" s="98">
        <f t="shared" si="42"/>
        <v>46006</v>
      </c>
      <c r="I210" s="98"/>
      <c r="J210" s="99"/>
      <c r="K210" s="25"/>
      <c r="L210" s="25"/>
      <c r="M210" s="25"/>
      <c r="N210" s="25"/>
    </row>
    <row r="211" spans="1:14" x14ac:dyDescent="0.25">
      <c r="A211" s="98">
        <v>45991</v>
      </c>
      <c r="B211" s="25" t="s">
        <v>460</v>
      </c>
      <c r="C211" s="98">
        <f t="shared" si="37"/>
        <v>46014</v>
      </c>
      <c r="D211" s="98">
        <f t="shared" si="38"/>
        <v>45998</v>
      </c>
      <c r="E211" s="98">
        <f t="shared" si="39"/>
        <v>46005</v>
      </c>
      <c r="F211" s="98">
        <f t="shared" si="40"/>
        <v>46011</v>
      </c>
      <c r="G211" s="98">
        <f t="shared" si="41"/>
        <v>45999</v>
      </c>
      <c r="H211" s="98">
        <f t="shared" si="42"/>
        <v>46006</v>
      </c>
      <c r="I211" s="98"/>
      <c r="J211" s="99"/>
      <c r="K211" s="25"/>
      <c r="L211" s="25"/>
      <c r="M211" s="25"/>
      <c r="N211" s="25"/>
    </row>
    <row r="212" spans="1:14" x14ac:dyDescent="0.25">
      <c r="A212" s="98">
        <v>45991</v>
      </c>
      <c r="B212" s="25" t="s">
        <v>461</v>
      </c>
      <c r="C212" s="98">
        <f t="shared" ref="C212:C215" si="43">A212+23</f>
        <v>46014</v>
      </c>
      <c r="D212" s="98">
        <f t="shared" ref="D212:D215" si="44">A212+7</f>
        <v>45998</v>
      </c>
      <c r="E212" s="98">
        <f t="shared" ref="E212:E215" si="45">A212+14</f>
        <v>46005</v>
      </c>
      <c r="F212" s="98">
        <f t="shared" ref="F212:F215" si="46">A212+20</f>
        <v>46011</v>
      </c>
      <c r="G212" s="98">
        <f t="shared" ref="G212:G215" si="47">A212+8</f>
        <v>45999</v>
      </c>
      <c r="H212" s="98">
        <f t="shared" ref="H212:H215" si="48">A212+15</f>
        <v>46006</v>
      </c>
      <c r="I212" s="98"/>
      <c r="J212" s="99"/>
      <c r="K212" s="25"/>
      <c r="L212" s="25"/>
      <c r="M212" s="25"/>
      <c r="N212" s="25"/>
    </row>
    <row r="213" spans="1:14" x14ac:dyDescent="0.25">
      <c r="A213" s="98">
        <v>45991</v>
      </c>
      <c r="B213" s="25" t="s">
        <v>577</v>
      </c>
      <c r="C213" s="98">
        <f t="shared" si="43"/>
        <v>46014</v>
      </c>
      <c r="D213" s="98">
        <f t="shared" si="44"/>
        <v>45998</v>
      </c>
      <c r="E213" s="98">
        <f t="shared" si="45"/>
        <v>46005</v>
      </c>
      <c r="F213" s="98">
        <f t="shared" si="46"/>
        <v>46011</v>
      </c>
      <c r="G213" s="98">
        <f t="shared" si="47"/>
        <v>45999</v>
      </c>
      <c r="H213" s="98">
        <f t="shared" si="48"/>
        <v>46006</v>
      </c>
      <c r="I213" s="98"/>
      <c r="J213" s="99"/>
      <c r="K213" s="25"/>
      <c r="L213" s="25"/>
      <c r="M213" s="25"/>
      <c r="N213" s="25"/>
    </row>
    <row r="214" spans="1:14" x14ac:dyDescent="0.25">
      <c r="A214" s="98">
        <v>45991</v>
      </c>
      <c r="B214" s="25" t="s">
        <v>578</v>
      </c>
      <c r="C214" s="98">
        <f t="shared" si="43"/>
        <v>46014</v>
      </c>
      <c r="D214" s="98">
        <f t="shared" si="44"/>
        <v>45998</v>
      </c>
      <c r="E214" s="98">
        <f t="shared" si="45"/>
        <v>46005</v>
      </c>
      <c r="F214" s="98">
        <f t="shared" si="46"/>
        <v>46011</v>
      </c>
      <c r="G214" s="98">
        <f t="shared" si="47"/>
        <v>45999</v>
      </c>
      <c r="H214" s="98">
        <f t="shared" si="48"/>
        <v>46006</v>
      </c>
      <c r="I214" s="98"/>
      <c r="J214" s="99"/>
      <c r="K214" s="25"/>
      <c r="L214" s="25"/>
      <c r="M214" s="25"/>
      <c r="N214" s="25"/>
    </row>
    <row r="215" spans="1:14" x14ac:dyDescent="0.25">
      <c r="A215" s="98">
        <v>45991</v>
      </c>
      <c r="B215" s="25" t="s">
        <v>579</v>
      </c>
      <c r="C215" s="98">
        <f t="shared" si="43"/>
        <v>46014</v>
      </c>
      <c r="D215" s="98">
        <f t="shared" si="44"/>
        <v>45998</v>
      </c>
      <c r="E215" s="98">
        <f t="shared" si="45"/>
        <v>46005</v>
      </c>
      <c r="F215" s="98">
        <f t="shared" si="46"/>
        <v>46011</v>
      </c>
      <c r="G215" s="98">
        <f t="shared" si="47"/>
        <v>45999</v>
      </c>
      <c r="H215" s="98">
        <f t="shared" si="48"/>
        <v>46006</v>
      </c>
      <c r="I215" s="98"/>
      <c r="J215" s="99"/>
      <c r="K215" s="25"/>
      <c r="L215" s="25"/>
      <c r="M215" s="25"/>
      <c r="N215" s="25"/>
    </row>
    <row r="216" spans="1:14" x14ac:dyDescent="0.25">
      <c r="A216" s="98">
        <v>45992</v>
      </c>
      <c r="B216" s="25" t="s">
        <v>462</v>
      </c>
      <c r="C216" s="98">
        <f t="shared" ref="C216:C222" si="49">A216+23</f>
        <v>46015</v>
      </c>
      <c r="D216" s="98">
        <f t="shared" ref="D216:D222" si="50">A216+7</f>
        <v>45999</v>
      </c>
      <c r="E216" s="98">
        <f t="shared" ref="E216:E222" si="51">A216+14</f>
        <v>46006</v>
      </c>
      <c r="F216" s="98">
        <f t="shared" ref="F216:F222" si="52">A216+20</f>
        <v>46012</v>
      </c>
      <c r="G216" s="98">
        <f t="shared" ref="G216:G222" si="53">A216+8</f>
        <v>46000</v>
      </c>
      <c r="H216" s="98">
        <f t="shared" ref="H216:H222" si="54">A216+15</f>
        <v>46007</v>
      </c>
      <c r="I216" s="98"/>
      <c r="J216" s="99"/>
      <c r="K216" s="25"/>
      <c r="L216" s="25"/>
      <c r="M216" s="25"/>
      <c r="N216" s="25"/>
    </row>
    <row r="217" spans="1:14" x14ac:dyDescent="0.25">
      <c r="A217" s="98">
        <v>45992</v>
      </c>
      <c r="B217" s="25" t="s">
        <v>463</v>
      </c>
      <c r="C217" s="98">
        <f t="shared" si="49"/>
        <v>46015</v>
      </c>
      <c r="D217" s="98">
        <f t="shared" si="50"/>
        <v>45999</v>
      </c>
      <c r="E217" s="98">
        <f t="shared" si="51"/>
        <v>46006</v>
      </c>
      <c r="F217" s="98">
        <f t="shared" si="52"/>
        <v>46012</v>
      </c>
      <c r="G217" s="98">
        <f t="shared" si="53"/>
        <v>46000</v>
      </c>
      <c r="H217" s="98">
        <f t="shared" si="54"/>
        <v>46007</v>
      </c>
      <c r="I217" s="98"/>
      <c r="J217" s="99"/>
      <c r="K217" s="25"/>
      <c r="L217" s="25"/>
      <c r="M217" s="25"/>
      <c r="N217" s="25"/>
    </row>
    <row r="218" spans="1:14" x14ac:dyDescent="0.25">
      <c r="A218" s="98">
        <v>45992</v>
      </c>
      <c r="B218" s="25" t="s">
        <v>464</v>
      </c>
      <c r="C218" s="98">
        <f t="shared" si="49"/>
        <v>46015</v>
      </c>
      <c r="D218" s="98">
        <f t="shared" si="50"/>
        <v>45999</v>
      </c>
      <c r="E218" s="98">
        <f t="shared" si="51"/>
        <v>46006</v>
      </c>
      <c r="F218" s="98">
        <f t="shared" si="52"/>
        <v>46012</v>
      </c>
      <c r="G218" s="98">
        <f t="shared" si="53"/>
        <v>46000</v>
      </c>
      <c r="H218" s="98">
        <f t="shared" si="54"/>
        <v>46007</v>
      </c>
      <c r="I218" s="98"/>
      <c r="J218" s="99"/>
      <c r="K218" s="25"/>
      <c r="L218" s="25"/>
      <c r="M218" s="25"/>
      <c r="N218" s="25"/>
    </row>
    <row r="219" spans="1:14" x14ac:dyDescent="0.25">
      <c r="A219" s="98">
        <v>45992</v>
      </c>
      <c r="B219" s="25" t="s">
        <v>424</v>
      </c>
      <c r="C219" s="98">
        <f t="shared" si="49"/>
        <v>46015</v>
      </c>
      <c r="D219" s="98">
        <f t="shared" si="50"/>
        <v>45999</v>
      </c>
      <c r="E219" s="98">
        <f t="shared" si="51"/>
        <v>46006</v>
      </c>
      <c r="F219" s="98">
        <f t="shared" si="52"/>
        <v>46012</v>
      </c>
      <c r="G219" s="98">
        <f t="shared" si="53"/>
        <v>46000</v>
      </c>
      <c r="H219" s="98">
        <f t="shared" si="54"/>
        <v>46007</v>
      </c>
      <c r="I219" s="98"/>
      <c r="J219" s="99"/>
      <c r="K219" s="25"/>
      <c r="L219" s="25"/>
      <c r="M219" s="25"/>
      <c r="N219" s="25"/>
    </row>
    <row r="220" spans="1:14" x14ac:dyDescent="0.25">
      <c r="A220" s="98">
        <v>45992</v>
      </c>
      <c r="B220" s="25" t="s">
        <v>425</v>
      </c>
      <c r="C220" s="98">
        <f t="shared" si="49"/>
        <v>46015</v>
      </c>
      <c r="D220" s="98">
        <f t="shared" si="50"/>
        <v>45999</v>
      </c>
      <c r="E220" s="98">
        <f t="shared" si="51"/>
        <v>46006</v>
      </c>
      <c r="F220" s="98">
        <f t="shared" si="52"/>
        <v>46012</v>
      </c>
      <c r="G220" s="98">
        <f t="shared" si="53"/>
        <v>46000</v>
      </c>
      <c r="H220" s="98">
        <f t="shared" si="54"/>
        <v>46007</v>
      </c>
      <c r="I220" s="98"/>
      <c r="J220" s="99"/>
      <c r="K220" s="25"/>
      <c r="L220" s="25"/>
      <c r="M220" s="25"/>
      <c r="N220" s="25"/>
    </row>
    <row r="221" spans="1:14" x14ac:dyDescent="0.25">
      <c r="A221" s="98">
        <v>45992</v>
      </c>
      <c r="B221" s="25" t="s">
        <v>426</v>
      </c>
      <c r="C221" s="98">
        <f t="shared" si="49"/>
        <v>46015</v>
      </c>
      <c r="D221" s="98">
        <f t="shared" si="50"/>
        <v>45999</v>
      </c>
      <c r="E221" s="98">
        <f t="shared" si="51"/>
        <v>46006</v>
      </c>
      <c r="F221" s="98">
        <f t="shared" si="52"/>
        <v>46012</v>
      </c>
      <c r="G221" s="98">
        <f t="shared" si="53"/>
        <v>46000</v>
      </c>
      <c r="H221" s="98">
        <f t="shared" si="54"/>
        <v>46007</v>
      </c>
      <c r="I221" s="98"/>
      <c r="J221" s="99"/>
      <c r="K221" s="25"/>
      <c r="L221" s="25"/>
      <c r="M221" s="25"/>
      <c r="N221" s="25"/>
    </row>
    <row r="222" spans="1:14" x14ac:dyDescent="0.25">
      <c r="A222" s="98">
        <v>45992</v>
      </c>
      <c r="B222" s="25" t="s">
        <v>427</v>
      </c>
      <c r="C222" s="98">
        <f t="shared" si="49"/>
        <v>46015</v>
      </c>
      <c r="D222" s="98">
        <f t="shared" si="50"/>
        <v>45999</v>
      </c>
      <c r="E222" s="98">
        <f t="shared" si="51"/>
        <v>46006</v>
      </c>
      <c r="F222" s="98">
        <f t="shared" si="52"/>
        <v>46012</v>
      </c>
      <c r="G222" s="98">
        <f t="shared" si="53"/>
        <v>46000</v>
      </c>
      <c r="H222" s="98">
        <f t="shared" si="54"/>
        <v>46007</v>
      </c>
      <c r="I222" s="98"/>
      <c r="J222" s="99"/>
      <c r="K222" s="25"/>
      <c r="L222" s="25"/>
      <c r="M222" s="25"/>
      <c r="N222" s="25"/>
    </row>
    <row r="223" spans="1:14" x14ac:dyDescent="0.25">
      <c r="A223" s="98">
        <v>45994</v>
      </c>
      <c r="B223" s="25" t="s">
        <v>421</v>
      </c>
      <c r="C223" s="98">
        <f t="shared" ref="C223:C231" si="55">A223+23</f>
        <v>46017</v>
      </c>
      <c r="D223" s="98">
        <f t="shared" ref="D223:D231" si="56">A223+7</f>
        <v>46001</v>
      </c>
      <c r="E223" s="98">
        <f t="shared" ref="E223:E231" si="57">A223+14</f>
        <v>46008</v>
      </c>
      <c r="F223" s="98">
        <f t="shared" ref="F223:F231" si="58">A223+20</f>
        <v>46014</v>
      </c>
      <c r="G223" s="98">
        <f t="shared" ref="G223:G231" si="59">A223+8</f>
        <v>46002</v>
      </c>
      <c r="H223" s="98">
        <f t="shared" ref="H223:H231" si="60">A223+15</f>
        <v>46009</v>
      </c>
      <c r="I223" s="98"/>
      <c r="J223" s="99"/>
      <c r="K223" s="25"/>
      <c r="L223" s="25"/>
      <c r="M223" s="25"/>
      <c r="N223" s="25"/>
    </row>
    <row r="224" spans="1:14" x14ac:dyDescent="0.25">
      <c r="A224" s="98">
        <v>45994</v>
      </c>
      <c r="B224" s="25" t="s">
        <v>422</v>
      </c>
      <c r="C224" s="98">
        <f t="shared" si="55"/>
        <v>46017</v>
      </c>
      <c r="D224" s="98">
        <f t="shared" si="56"/>
        <v>46001</v>
      </c>
      <c r="E224" s="98">
        <f t="shared" si="57"/>
        <v>46008</v>
      </c>
      <c r="F224" s="98">
        <f t="shared" si="58"/>
        <v>46014</v>
      </c>
      <c r="G224" s="98">
        <f t="shared" si="59"/>
        <v>46002</v>
      </c>
      <c r="H224" s="98">
        <f t="shared" si="60"/>
        <v>46009</v>
      </c>
      <c r="I224" s="98"/>
      <c r="J224" s="99"/>
      <c r="K224" s="25"/>
      <c r="L224" s="25"/>
      <c r="M224" s="25"/>
      <c r="N224" s="25"/>
    </row>
    <row r="225" spans="1:14" x14ac:dyDescent="0.25">
      <c r="A225" s="98">
        <v>45994</v>
      </c>
      <c r="B225" s="25" t="s">
        <v>423</v>
      </c>
      <c r="C225" s="98">
        <f t="shared" si="55"/>
        <v>46017</v>
      </c>
      <c r="D225" s="98">
        <f t="shared" si="56"/>
        <v>46001</v>
      </c>
      <c r="E225" s="98">
        <f t="shared" si="57"/>
        <v>46008</v>
      </c>
      <c r="F225" s="98">
        <f t="shared" si="58"/>
        <v>46014</v>
      </c>
      <c r="G225" s="98">
        <f t="shared" si="59"/>
        <v>46002</v>
      </c>
      <c r="H225" s="98">
        <f t="shared" si="60"/>
        <v>46009</v>
      </c>
      <c r="I225" s="98"/>
      <c r="J225" s="99"/>
      <c r="K225" s="25"/>
      <c r="L225" s="25"/>
      <c r="M225" s="25"/>
      <c r="N225" s="25"/>
    </row>
    <row r="226" spans="1:14" x14ac:dyDescent="0.25">
      <c r="A226" s="98">
        <v>45994</v>
      </c>
      <c r="B226" s="25" t="s">
        <v>452</v>
      </c>
      <c r="C226" s="98">
        <f t="shared" si="55"/>
        <v>46017</v>
      </c>
      <c r="D226" s="98">
        <f t="shared" si="56"/>
        <v>46001</v>
      </c>
      <c r="E226" s="98">
        <f t="shared" si="57"/>
        <v>46008</v>
      </c>
      <c r="F226" s="98">
        <f t="shared" si="58"/>
        <v>46014</v>
      </c>
      <c r="G226" s="98">
        <f t="shared" si="59"/>
        <v>46002</v>
      </c>
      <c r="H226" s="98">
        <f t="shared" si="60"/>
        <v>46009</v>
      </c>
      <c r="I226" s="98"/>
      <c r="J226" s="99"/>
      <c r="K226" s="25"/>
      <c r="L226" s="25"/>
      <c r="M226" s="25"/>
      <c r="N226" s="25"/>
    </row>
    <row r="227" spans="1:14" x14ac:dyDescent="0.25">
      <c r="A227" s="98">
        <v>45994</v>
      </c>
      <c r="B227" s="25" t="s">
        <v>453</v>
      </c>
      <c r="C227" s="98">
        <f t="shared" si="55"/>
        <v>46017</v>
      </c>
      <c r="D227" s="98">
        <f t="shared" si="56"/>
        <v>46001</v>
      </c>
      <c r="E227" s="98">
        <f t="shared" si="57"/>
        <v>46008</v>
      </c>
      <c r="F227" s="98">
        <f t="shared" si="58"/>
        <v>46014</v>
      </c>
      <c r="G227" s="98">
        <f t="shared" si="59"/>
        <v>46002</v>
      </c>
      <c r="H227" s="98">
        <f t="shared" si="60"/>
        <v>46009</v>
      </c>
      <c r="I227" s="98"/>
      <c r="J227" s="99"/>
      <c r="K227" s="25"/>
      <c r="L227" s="25"/>
      <c r="M227" s="25"/>
      <c r="N227" s="25"/>
    </row>
    <row r="228" spans="1:14" x14ac:dyDescent="0.25">
      <c r="A228" s="98">
        <v>45994</v>
      </c>
      <c r="B228" s="25" t="s">
        <v>454</v>
      </c>
      <c r="C228" s="98">
        <f t="shared" si="55"/>
        <v>46017</v>
      </c>
      <c r="D228" s="98">
        <f t="shared" si="56"/>
        <v>46001</v>
      </c>
      <c r="E228" s="98">
        <f t="shared" si="57"/>
        <v>46008</v>
      </c>
      <c r="F228" s="98">
        <f t="shared" si="58"/>
        <v>46014</v>
      </c>
      <c r="G228" s="98">
        <f t="shared" si="59"/>
        <v>46002</v>
      </c>
      <c r="H228" s="98">
        <f t="shared" si="60"/>
        <v>46009</v>
      </c>
      <c r="I228" s="98"/>
      <c r="J228" s="99"/>
      <c r="K228" s="25"/>
      <c r="L228" s="25"/>
      <c r="M228" s="25"/>
      <c r="N228" s="25"/>
    </row>
    <row r="229" spans="1:14" x14ac:dyDescent="0.25">
      <c r="A229" s="98">
        <v>45994</v>
      </c>
      <c r="B229" s="25" t="s">
        <v>455</v>
      </c>
      <c r="C229" s="98">
        <f t="shared" si="55"/>
        <v>46017</v>
      </c>
      <c r="D229" s="98">
        <f t="shared" si="56"/>
        <v>46001</v>
      </c>
      <c r="E229" s="98">
        <f t="shared" si="57"/>
        <v>46008</v>
      </c>
      <c r="F229" s="98">
        <f t="shared" si="58"/>
        <v>46014</v>
      </c>
      <c r="G229" s="98">
        <f t="shared" si="59"/>
        <v>46002</v>
      </c>
      <c r="H229" s="98">
        <f t="shared" si="60"/>
        <v>46009</v>
      </c>
      <c r="I229" s="98"/>
      <c r="J229" s="99"/>
      <c r="K229" s="25"/>
      <c r="L229" s="25"/>
      <c r="M229" s="25"/>
      <c r="N229" s="25"/>
    </row>
    <row r="230" spans="1:14" x14ac:dyDescent="0.25">
      <c r="A230" s="98">
        <v>45994</v>
      </c>
      <c r="B230" s="25" t="s">
        <v>456</v>
      </c>
      <c r="C230" s="98">
        <f t="shared" si="55"/>
        <v>46017</v>
      </c>
      <c r="D230" s="98">
        <f t="shared" si="56"/>
        <v>46001</v>
      </c>
      <c r="E230" s="98">
        <f t="shared" si="57"/>
        <v>46008</v>
      </c>
      <c r="F230" s="98">
        <f t="shared" si="58"/>
        <v>46014</v>
      </c>
      <c r="G230" s="98">
        <f t="shared" si="59"/>
        <v>46002</v>
      </c>
      <c r="H230" s="98">
        <f t="shared" si="60"/>
        <v>46009</v>
      </c>
      <c r="I230" s="98"/>
      <c r="J230" s="99"/>
      <c r="K230" s="25"/>
      <c r="L230" s="25"/>
      <c r="M230" s="25"/>
      <c r="N230" s="25"/>
    </row>
    <row r="231" spans="1:14" x14ac:dyDescent="0.25">
      <c r="A231" s="98">
        <v>45994</v>
      </c>
      <c r="B231" s="25" t="s">
        <v>457</v>
      </c>
      <c r="C231" s="98">
        <f t="shared" si="55"/>
        <v>46017</v>
      </c>
      <c r="D231" s="98">
        <f t="shared" si="56"/>
        <v>46001</v>
      </c>
      <c r="E231" s="98">
        <f t="shared" si="57"/>
        <v>46008</v>
      </c>
      <c r="F231" s="98">
        <f t="shared" si="58"/>
        <v>46014</v>
      </c>
      <c r="G231" s="98">
        <f t="shared" si="59"/>
        <v>46002</v>
      </c>
      <c r="H231" s="98">
        <f t="shared" si="60"/>
        <v>46009</v>
      </c>
      <c r="I231" s="98"/>
      <c r="J231" s="99"/>
      <c r="K231" s="25"/>
      <c r="L231" s="25"/>
      <c r="M231" s="25"/>
      <c r="N231" s="25"/>
    </row>
  </sheetData>
  <conditionalFormatting sqref="A232:I1048576 A223:A231 C222:I231 A1:I222">
    <cfRule type="expression" dxfId="26" priority="1">
      <formula>$J1&gt;0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Plan Maps. AUG</vt:lpstr>
      <vt:lpstr>Tanam Kangkung- 7 Bedeng</vt:lpstr>
      <vt:lpstr>dash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2025-12-03T11:53:44Z</dcterms:modified>
</cp:coreProperties>
</file>